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1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⓪ 表说明与全链路血缘" sheetId="1" state="visible" r:id="rId1"/>
    <sheet xmlns:r="http://schemas.openxmlformats.org/officeDocument/2006/relationships" name="① 表清单 索引" sheetId="2" state="visible" r:id="rId2"/>
    <sheet xmlns:r="http://schemas.openxmlformats.org/officeDocument/2006/relationships" name="② src·portnewrezfc" sheetId="3" state="visible" r:id="rId3"/>
    <sheet xmlns:r="http://schemas.openxmlformats.org/officeDocument/2006/relationships" name="③ src·portnewrezbk" sheetId="4" state="visible" r:id="rId4"/>
    <sheet xmlns:r="http://schemas.openxmlformats.org/officeDocument/2006/relationships" name="④ src·portnewrezlm" sheetId="5" state="visible" r:id="rId5"/>
    <sheet xmlns:r="http://schemas.openxmlformats.org/officeDocument/2006/relationships" name="⑤ src·portnewrezgeneral" sheetId="6" state="visible" r:id="rId6"/>
    <sheet xmlns:r="http://schemas.openxmlformats.org/officeDocument/2006/relationships" name="⑥ src·portnewrezprop" sheetId="7" state="visible" r:id="rId7"/>
    <sheet xmlns:r="http://schemas.openxmlformats.org/officeDocument/2006/relationships" name="⑦ mid·basic_data_loan_fcl" sheetId="8" state="visible" r:id="rId8"/>
    <sheet xmlns:r="http://schemas.openxmlformats.org/officeDocument/2006/relationships" name="⑧ mid·basic_data_loan_foreclosu" sheetId="9" state="visible" r:id="rId9"/>
    <sheet xmlns:r="http://schemas.openxmlformats.org/officeDocument/2006/relationships" name="⑨ mid·basic_data_fcl_related" sheetId="10" state="visible" r:id="rId10"/>
    <sheet xmlns:r="http://schemas.openxmlformats.org/officeDocument/2006/relationships" name="⑩ mid·fcl_stage_info(RS)" sheetId="11" state="visible" r:id="rId11"/>
    <sheet xmlns:r="http://schemas.openxmlformats.org/officeDocument/2006/relationships" name="⑪ mid·portfunding" sheetId="12" state="visible" r:id="rId12"/>
    <sheet xmlns:r="http://schemas.openxmlformats.org/officeDocument/2006/relationships" name="⑫ mid·hold" sheetId="13" state="visible" r:id="rId13"/>
    <sheet xmlns:r="http://schemas.openxmlformats.org/officeDocument/2006/relationships" name="⑬ mid·loss_mitigation" sheetId="14" state="visible" r:id="rId14"/>
    <sheet xmlns:r="http://schemas.openxmlformats.org/officeDocument/2006/relationships" name="⑭ mid·bankruptcy" sheetId="15" state="visible" r:id="rId15"/>
    <sheet xmlns:r="http://schemas.openxmlformats.org/officeDocument/2006/relationships" name="⑮ mid·temp_basic_data_fcl" sheetId="16" state="visible" r:id="rId16"/>
    <sheet xmlns:r="http://schemas.openxmlformats.org/officeDocument/2006/relationships" name="⑯ mid·daily_loan_common" sheetId="17" state="visible" r:id="rId17"/>
    <sheet xmlns:r="http://schemas.openxmlformats.org/officeDocument/2006/relationships" name="⑰ mid·daily_loan_common_clean" sheetId="18" state="visible" r:id="rId18"/>
    <sheet xmlns:r="http://schemas.openxmlformats.org/officeDocument/2006/relationships" name="⑱ bps·sync_loan_foreclosure" sheetId="19" state="visible" r:id="rId19"/>
    <sheet xmlns:r="http://schemas.openxmlformats.org/officeDocument/2006/relationships" name="⑲ bps·sync_fcl_stage_info" sheetId="20" state="visible" r:id="rId20"/>
    <sheet xmlns:r="http://schemas.openxmlformats.org/officeDocument/2006/relationships" name="⑳ bps·view_loan_details" sheetId="21" state="visible" r:id="rId21"/>
    <sheet xmlns:r="http://schemas.openxmlformats.org/officeDocument/2006/relationships" name="㉑ bps·hold" sheetId="22" state="visible" r:id="rId22"/>
    <sheet xmlns:r="http://schemas.openxmlformats.org/officeDocument/2006/relationships" name="㉒ bps·loss_mitigation" sheetId="23" state="visible" r:id="rId23"/>
    <sheet xmlns:r="http://schemas.openxmlformats.org/officeDocument/2006/relationships" name="㉓ bps·bankruptcy" sheetId="24" state="visible" r:id="rId24"/>
    <sheet xmlns:r="http://schemas.openxmlformats.org/officeDocument/2006/relationships" name="㉔ dict·portnewrezdatadic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7F6000"/>
      <sz val="9"/>
    </font>
    <font>
      <name val="Consolas"/>
      <color rgb="00333333"/>
      <sz val="8"/>
    </font>
    <font>
      <name val="微软雅黑"/>
      <b val="1"/>
      <color rgb="00FFFFFF"/>
      <sz val="9"/>
    </font>
    <font>
      <name val="微软雅黑"/>
      <b val="1"/>
      <sz val="9"/>
    </font>
    <font>
      <name val="微软雅黑"/>
      <sz val="9"/>
    </font>
    <font>
      <name val="微软雅黑"/>
      <b val="1"/>
      <sz val="10"/>
    </font>
    <font>
      <name val="微软雅黑"/>
      <sz val="10"/>
    </font>
    <font>
      <name val="微软雅黑"/>
      <sz val="8"/>
    </font>
    <font>
      <name val="微软雅黑"/>
      <i val="1"/>
      <color rgb="007F6000"/>
      <sz val="8"/>
    </font>
    <font>
      <name val="Consolas"/>
      <sz val="8"/>
    </font>
    <font>
      <name val="微软雅黑"/>
      <b val="1"/>
      <color rgb="00FFFFFF"/>
      <sz val="10"/>
    </font>
    <font>
      <name val="微软雅黑"/>
      <i val="1"/>
      <color rgb="00808080"/>
      <sz val="8"/>
    </font>
    <font>
      <name val="微软雅黑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1F3864"/>
      </patternFill>
    </fill>
    <fill>
      <patternFill patternType="solid">
        <fgColor rgb="00F2EAF7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1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1" fillId="7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" fillId="8" borderId="0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  <xf numFmtId="0" fontId="14" fillId="10" borderId="0" applyAlignment="1" pivotButton="0" quotePrefix="0" xfId="0">
      <alignment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mapping-check</author>
  </authors>
  <commentList>
    <comment ref="L15" authorId="0" shapeId="0">
      <text>
        <t>该贷款在 sync_loan_foreclosure 无记录（未进 FCL 表）；公式仅供参考，不参与差异比对</t>
      </text>
    </comment>
    <comment ref="D22" authorId="0" shapeId="0">
      <text>
        <t>公式=2025-02-18 ｜ 实际=∅</t>
      </text>
    </comment>
    <comment ref="F22" authorId="0" shapeId="0">
      <text>
        <t>公式=2025-11-17 ｜ 实际=∅</t>
      </text>
    </comment>
    <comment ref="H22" authorId="0" shapeId="0">
      <text>
        <t>公式=2025-05-20 ｜ 实际=∅</t>
      </text>
    </comment>
    <comment ref="J22" authorId="0" shapeId="0">
      <text>
        <t>公式=2024-08-12 ｜ 实际=∅</t>
      </text>
    </comment>
    <comment ref="D23" authorId="0" shapeId="0">
      <text>
        <t>公式=2025-03-25 ｜ 实际=∅</t>
      </text>
    </comment>
    <comment ref="F23" authorId="0" shapeId="0">
      <text>
        <t>公式=2025-12-22 ｜ 实际=∅</t>
      </text>
    </comment>
    <comment ref="H23" authorId="0" shapeId="0">
      <text>
        <t>公式=2025-06-24 ｜ 实际=∅</t>
      </text>
    </comment>
    <comment ref="J23" authorId="0" shapeId="0">
      <text>
        <t>公式=2024-09-18 ｜ 实际=∅</t>
      </text>
    </comment>
    <comment ref="D24" authorId="0" shapeId="0">
      <text>
        <t>公式=2025-05-23 ｜ 实际=∅</t>
      </text>
    </comment>
    <comment ref="F24" authorId="0" shapeId="0">
      <text>
        <t>公式=2026-03-09 ｜ 实际=∅</t>
      </text>
    </comment>
    <comment ref="H24" authorId="0" shapeId="0">
      <text>
        <t>公式=2025-06-27 ｜ 实际=∅</t>
      </text>
    </comment>
    <comment ref="J24" authorId="0" shapeId="0">
      <text>
        <t>公式=2025-02-03 ｜ 实际=∅</t>
      </text>
    </comment>
    <comment ref="D25" authorId="0" shapeId="0">
      <text>
        <t>公式=2025-05-23 ｜ 实际=∅</t>
      </text>
    </comment>
    <comment ref="F25" authorId="0" shapeId="0">
      <text>
        <t>公式=2026-03-09 ｜ 实际=∅</t>
      </text>
    </comment>
    <comment ref="H25" authorId="0" shapeId="0">
      <text>
        <t>公式=2025-06-27 ｜ 实际=∅</t>
      </text>
    </comment>
    <comment ref="J25" authorId="0" shapeId="0">
      <text>
        <t>公式=2025-02-03 ｜ 实际=∅</t>
      </text>
    </comment>
    <comment ref="D38" authorId="0" shapeId="0">
      <text>
        <t>公式=2026-05-26 ｜ 实际=∅</t>
      </text>
    </comment>
    <comment ref="F38" authorId="0" shapeId="0">
      <text>
        <t>公式=2026-05-27 ｜ 实际=∅</t>
      </text>
    </comment>
    <comment ref="H38" authorId="0" shapeId="0">
      <text>
        <t>公式=2026-04-17 ｜ 实际=∅</t>
      </text>
    </comment>
    <comment ref="J38" authorId="0" shapeId="0">
      <text>
        <t>公式=2025-10-28 ｜ 实际=∅</t>
      </text>
    </comment>
    <comment ref="H61" authorId="0" shapeId="0">
      <text>
        <t>公式=2026-05-19 ｜ 实际=∅</t>
      </text>
    </comment>
    <comment ref="D64" authorId="0" shapeId="0">
      <text>
        <t>公式=1031718838 ｜ 实际=∅</t>
      </text>
    </comment>
    <comment ref="F64" authorId="0" shapeId="0">
      <text>
        <t>公式=1032761570 ｜ 实际=∅</t>
      </text>
    </comment>
    <comment ref="H64" authorId="0" shapeId="0">
      <text>
        <t>公式=0688132141 ｜ 实际=∅</t>
      </text>
    </comment>
    <comment ref="J64" authorId="0" shapeId="0">
      <text>
        <t>公式=1031718621 ｜ 实际=∅</t>
      </text>
    </comment>
    <comment ref="D66" authorId="0" shapeId="0">
      <text>
        <t>公式=1 ｜ 实际=∅</t>
      </text>
    </comment>
    <comment ref="F66" authorId="0" shapeId="0">
      <text>
        <t>公式=1 ｜ 实际=∅</t>
      </text>
    </comment>
    <comment ref="H66" authorId="0" shapeId="0">
      <text>
        <t>公式=1 ｜ 实际=∅</t>
      </text>
    </comment>
    <comment ref="J66" authorId="0" shapeId="0">
      <text>
        <t>公式=1 ｜ 实际=∅</t>
      </text>
    </comment>
    <comment ref="D71" authorId="0" shapeId="0">
      <text>
        <t>公式=Kelley Kronenberg, P.A. ｜ 实际=∅</t>
      </text>
    </comment>
    <comment ref="F71" authorId="0" shapeId="0">
      <text>
        <t>公式=Orlans Law Group PLLC ｜ 实际=∅</t>
      </text>
    </comment>
    <comment ref="H71" authorId="0" shapeId="0">
      <text>
        <t>公式=Johnson, Blumberg &amp; Associates, LLC ｜ 实际=∅</t>
      </text>
    </comment>
    <comment ref="J71" authorId="0" shapeId="0">
      <text>
        <t>公式=RAS (Primary) ｜ 实际=∅</t>
      </text>
    </comment>
    <comment ref="D77" authorId="0" shapeId="0">
      <text>
        <t>公式=Sold ｜ 实际=Post Sale Review (SCRA and PACER Check)</t>
      </text>
    </comment>
    <comment ref="F77" authorId="0" shapeId="0">
      <text>
        <t>公式=Closed ｜ 实际=Pre-Sale Review 1 (SCRA and PACER Check)</t>
      </text>
    </comment>
    <comment ref="H77" authorId="0" shapeId="0">
      <text>
        <t>公式=Closed ｜ 实际=Pre-Sale Review 1 (SCRA and PACER Check)</t>
      </text>
    </comment>
    <comment ref="J77" authorId="0" shapeId="0">
      <text>
        <t>公式=Sold ｜ 实际=Post Sale Review (SCRA and PACER Check)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26" customWidth="1" min="4" max="4"/>
    <col width="40" customWidth="1" min="5" max="5"/>
    <col width="18" customWidth="1" min="6" max="6"/>
    <col width="54" customWidth="1" min="7" max="7"/>
    <col width="28" customWidth="1" min="8" max="8"/>
    <col width="54" customWidth="1" min="9" max="9"/>
    <col width="28" customWidth="1" min="10" max="10"/>
    <col width="28" customWidth="1" min="11" max="11"/>
  </cols>
  <sheetData>
    <row r="1">
      <c r="A1" s="33" t="inlineStr">
        <is>
          <t>doc 19 · 各表「业务含义与全链路血缘」总览（自动生成自 outputs/fcl_table_meta.json）</t>
        </is>
      </c>
    </row>
    <row r="2">
      <c r="A2" s="34" t="inlineStr">
        <is>
          <t>表(num)</t>
        </is>
      </c>
      <c r="B2" s="34" t="inlineStr">
        <is>
          <t>层</t>
        </is>
      </c>
      <c r="C2" s="34" t="inlineStr">
        <is>
          <t>业务含义/目的</t>
        </is>
      </c>
      <c r="D2" s="34" t="inlineStr">
        <is>
          <t>何时来查</t>
        </is>
      </c>
      <c r="E2" s="34" t="inlineStr">
        <is>
          <t>为什么这样处理</t>
        </is>
      </c>
      <c r="F2" s="34" t="inlineStr">
        <is>
          <t>数据粒度</t>
        </is>
      </c>
      <c r="G2" s="34" t="inlineStr">
        <is>
          <t>上游链路</t>
        </is>
      </c>
      <c r="H2" s="34" t="inlineStr">
        <is>
          <t>全部上游表</t>
        </is>
      </c>
      <c r="I2" s="34" t="inlineStr">
        <is>
          <t>下游链路</t>
        </is>
      </c>
      <c r="J2" s="34" t="inlineStr">
        <is>
          <t>全部下游表</t>
        </is>
      </c>
      <c r="K2" s="34" t="inlineStr">
        <is>
          <t>备注</t>
        </is>
      </c>
    </row>
    <row r="3" ht="96" customHeight="1">
      <c r="A3" s="6" t="inlineStr">
        <is>
          <t>② newrez.portnewrezfc</t>
        </is>
      </c>
      <c r="B3" s="6" t="inlineStr">
        <is>
          <t>L1 源（Newrez FCL 主源）</t>
        </is>
      </c>
      <c r="C3" s="6" t="inlineStr">
        <is>
          <t>Newrez 每日推送的法拍(FCL)主源表——一笔贷款一行最新快照，含 FCL 时间线里程碑(setup/referral/firstlegal/judgment/sale)、当前阶段 fcstage、4 个 Hold 槽(fchold1..4)、拍卖金额、律师等。 Newrez 法拍全流程的原始事实底座；下游所有 FCL 计算的源头。</t>
        </is>
      </c>
      <c r="D3" s="6" t="inlineStr">
        <is>
          <t>想看某贷款 Newrez 原始报的 FCL 里程碑/阶段/Hold 原值，或核对下游计算是否忠实于源时。</t>
        </is>
      </c>
      <c r="E3" s="6" t="inlineStr">
        <is>
          <t>各 Servicer 文件格式不同，先按‘一家一张原始表’落地保真，再到 L4 统一改名/UNION，便于回溯与对账。</t>
        </is>
      </c>
      <c r="F3" s="6" t="inlineStr">
        <is>
          <t>1 行/贷款/dataasof（每日快照）；本 dump 取 dataasof=MAX。</t>
        </is>
      </c>
      <c r="G3" s="6" t="inlineStr">
        <is>
          <t>Servicer 文件(S3, L0) → newrez.portnewrezfc  〔load_daily_newrez_flow.py；落库 daily_task.py:923-942(MySQL)/960-983(Redshift)〕</t>
        </is>
      </c>
      <c r="H3" s="6" t="inlineStr">
        <is>
          <t>Servicer 文件(S3, L0)</t>
        </is>
      </c>
      <c r="I3" s="6" t="inlineStr">
        <is>
          <t>portnewrezfc → tempfc.temp_basic_data_fcl(改名) → port.basic_data_loan_fcl(全 servicer UNION，FCL 事实表) → { port.basic_data_loan_foreclosure〔GEN_FCL_DETAIL basic_data_pool_config.py:253-305〕 / port.fcl_stage_info〔GEN_FCL_STAGE :1774-2440〕 / port.basic_data_loan_foreclosure_hold〔Hold 拆槽 :466-768〕 } → bpms.sync_*〔asset_managment_config.py〕 → bpms.biz_data_view_loan_details_foreclosure(视图) → BPS 法拍面板</t>
        </is>
      </c>
      <c r="J3" s="6" t="inlineStr">
        <is>
          <t>tempfc.temp_basic_data_fcl、port.basic_data_loan_fcl、port.basic_data_loan_foreclosure、port.fcl_stage_info、port.basic_data_loan_foreclosure_hold、bpms.sync_loan_foreclosure、bpms.sync_fcl_stage_info、bpms.sync_loan_foreclosure_hold、bpms.biz_data_view_loan_details_foreclosure</t>
        </is>
      </c>
      <c r="K3" s="6" t="inlineStr"/>
    </row>
    <row r="4" ht="96" customHeight="1">
      <c r="A4" s="16" t="inlineStr">
        <is>
          <t>③ newrez.portnewrezbk</t>
        </is>
      </c>
      <c r="B4" s="16" t="inlineStr">
        <is>
          <t>L1 源（Newrez 破产源）</t>
        </is>
      </c>
      <c r="C4" s="16" t="inlineStr">
        <is>
          <t>Newrez 破产(BK)源表，按贷款×破产申请记录，含 bkstatus/bkchapter/bkfileddate 等编码字段。 BK 事实底座；为 FCL 提供‘是否在破产保护(暂停法拍)’的判断。</t>
        </is>
      </c>
      <c r="D4" s="16" t="inlineStr">
        <is>
          <t>查某贷款原始破产章节/状态/申请日，或核对 BPS 破产面板。</t>
        </is>
      </c>
      <c r="E4" s="16" t="inlineStr">
        <is>
          <t>破产是法拍的暂停因素，需单列保真；编码值经 datadic 解码成业务文案。</t>
        </is>
      </c>
      <c r="F4" s="16" t="inlineStr">
        <is>
          <t>1 行/贷款/破产申请(bkfileddate)；多次申请多行。</t>
        </is>
      </c>
      <c r="G4" s="16" t="inlineStr">
        <is>
          <t>Servicer 文件(S3, L0) → newrez.portnewrezbk</t>
        </is>
      </c>
      <c r="H4" s="16" t="inlineStr">
        <is>
          <t>Servicer 文件(S3, L0)</t>
        </is>
      </c>
      <c r="I4" s="16" t="inlineStr">
        <is>
          <t>portnewrezbk → port.basic_data_loan_foreclosure_bankruptcy〔解码 bkstatus，basic_data_pool_config.py:331-370，JOIN newrez.portnewrezdatadic〕 → bpms.sync_loan_foreclosure_bankruptcy〔asset_managment_config.py:822-843〕 → bpms.biz_data_view_loan_details_foreclosure(视图) → BPS 破产面板</t>
        </is>
      </c>
      <c r="J4" s="16" t="inlineStr">
        <is>
          <t>port.basic_data_loan_foreclosure_bankruptcy、bpms.sync_loan_foreclosure_bankruptcy、bpms.biz_data_view_loan_details_foreclosure</t>
        </is>
      </c>
      <c r="K4" s="16" t="inlineStr"/>
    </row>
    <row r="5" ht="96" customHeight="1">
      <c r="A5" s="6" t="inlineStr">
        <is>
          <t>④ newrez.portnewrezlm</t>
        </is>
      </c>
      <c r="B5" s="6" t="inlineStr">
        <is>
          <t>L1 源（Newrez 损失缓解 LM 源）</t>
        </is>
      </c>
      <c r="C5" s="6" t="inlineStr">
        <is>
          <t>Newrez 损失缓解(LM)源表，按贷款×LM 周期(dealstartdate)，含 lmdeal/lmprogram/lmstatus/lmdecision 等编码。 LM 事实底座；提供‘是否在协商还款方案(暂停/替代法拍)’。</t>
        </is>
      </c>
      <c r="D5" s="6" t="inlineStr">
        <is>
          <t>查某贷款 LM 周期/项目/决定原值，或核对 BPS LM 面板。</t>
        </is>
      </c>
      <c r="E5" s="6" t="inlineStr">
        <is>
          <t>LM 是法拍的替代/暂停路径，需单列保真；编码经 datadic 解码。</t>
        </is>
      </c>
      <c r="F5" s="6" t="inlineStr">
        <is>
          <t>1 行/贷款/LM 周期(dealstartdate)；多周期多行。</t>
        </is>
      </c>
      <c r="G5" s="6" t="inlineStr">
        <is>
          <t>Servicer 文件(S3, L0) → newrez.portnewrezlm</t>
        </is>
      </c>
      <c r="H5" s="6" t="inlineStr">
        <is>
          <t>Servicer 文件(S3, L0)</t>
        </is>
      </c>
      <c r="I5" s="6" t="inlineStr">
        <is>
          <t>portnewrezlm → port.basic_data_loan_foreclosure_loss_mitigation〔basic_data_pool_config.py:799-843，JOIN newrez.portnewrezdatadic〕 → bpms.sync_loan_foreclosure_loss_mitigation〔asset_managment_config.py:799-819〕 → bpms.biz_data_view_loan_details_foreclosure(视图) → BPS LM 面板</t>
        </is>
      </c>
      <c r="J5" s="6" t="inlineStr">
        <is>
          <t>port.basic_data_loan_foreclosure_loss_mitigation、bpms.sync_loan_foreclosure_loss_mitigation、bpms.biz_data_view_loan_details_foreclosure</t>
        </is>
      </c>
      <c r="K5" s="6" t="inlineStr"/>
    </row>
    <row r="6" ht="96" customHeight="1">
      <c r="A6" s="16" t="inlineStr">
        <is>
          <t>⑤ newrez.portnewrezgeneral</t>
        </is>
      </c>
      <c r="B6" s="16" t="inlineStr">
        <is>
          <t>L1 源（Newrez 通用源）</t>
        </is>
      </c>
      <c r="C6" s="16" t="inlineStr">
        <is>
          <t>Newrez 通用源表(125 列)，含 legalstatus、delinquency_status_mba(MBA 逾期分类)、nextduedate 等账户层属性。 逾期(delinquency)支线的源头；提供 delq_status 原值。</t>
        </is>
      </c>
      <c r="D6" s="16" t="inlineStr">
        <is>
          <t>查某贷款原始逾期分类/法律状态/下次到期日。</t>
        </is>
      </c>
      <c r="E6" s="16" t="inlineStr">
        <is>
          <t>逾期与 FCL 是两条支线——逾期来自 general 表经 days360 归一，FCL 来自 portnewrezfc 显式标志；二者在 L4 汇合。FCL 码绝不由 days360 推导。</t>
        </is>
      </c>
      <c r="F6" s="16" t="inlineStr">
        <is>
          <t>1 行/贷款/dataasof。</t>
        </is>
      </c>
      <c r="G6" s="16" t="inlineStr">
        <is>
          <t>Servicer 文件(S3, L0) → newrez.portnewrezgeneral</t>
        </is>
      </c>
      <c r="H6" s="16" t="inlineStr">
        <is>
          <t>Servicer 文件(S3, L0)</t>
        </is>
      </c>
      <c r="I6" s="16" t="inlineStr">
        <is>
          <t>portnewrezgeneral.delinquency_status_mba → port.portdaily_v2〔portdaily_config.py〕 → port.basic_data_daily_loan_common.delq_status(逾期支线 L2，daily_data_loan_common_config.py) → port.basic_data_daily_loan_common_clean.delinq(L3，daily_data_loan_common_clean_config.py，CASE+days360) → { port.basic_data_fcl_related.delq_status / port.fcl_stage_info.group / port.portmonthbase } → BPS</t>
        </is>
      </c>
      <c r="J6" s="16" t="inlineStr">
        <is>
          <t>port.portdaily_v2、port.basic_data_daily_loan_common、port.basic_data_daily_loan_common_clean、port.basic_data_fcl_related、port.fcl_stage_info、port.portmonthbase、bpms.sync_fcl_stage_info</t>
        </is>
      </c>
      <c r="K6" s="16" t="inlineStr"/>
    </row>
    <row r="7" ht="96" customHeight="1">
      <c r="A7" s="6" t="inlineStr">
        <is>
          <t>⑥ newrez.portnewrezprop</t>
        </is>
      </c>
      <c r="B7" s="6" t="inlineStr">
        <is>
          <t>L1 源（Newrez 房产源）</t>
        </is>
      </c>
      <c r="C7" s="6" t="inlineStr">
        <is>
          <t>Newrez 房产源表(32 列)，含 propertystate(州，定司法/非司法)、LTV、occupancy 等。 提供物业/州属性；州决定 FCL 走司法(judicial)还是非司法路径。</t>
        </is>
      </c>
      <c r="D7" s="6" t="inlineStr">
        <is>
          <t>查某贷款物业州/LTV/占用情况。</t>
        </is>
      </c>
      <c r="E7" s="6" t="inlineStr">
        <is>
          <t>司法/非司法影响 FCL 时长与阶段口径，需物业州维度（实测 state 取自 portnewrezprop.propertystate）。</t>
        </is>
      </c>
      <c r="F7" s="6" t="inlineStr">
        <is>
          <t>1 行/贷款/dataasof。</t>
        </is>
      </c>
      <c r="G7" s="6" t="inlineStr">
        <is>
          <t>Servicer 文件(S3, L0) → newrez.portnewrezprop</t>
        </is>
      </c>
      <c r="H7" s="6" t="inlineStr">
        <is>
          <t>Servicer 文件(S3, L0)</t>
        </is>
      </c>
      <c r="I7" s="6" t="inlineStr">
        <is>
          <t>portnewrezprop.propertystate → port.basic_data_daily_loan_common(州维度) / port.basic_data_loan_foreclosure(summary_judicial_foreclosure 司法标志) → bpms.sync_loan_foreclosure → BPS</t>
        </is>
      </c>
      <c r="J7" s="6" t="inlineStr">
        <is>
          <t>port.basic_data_daily_loan_common、port.basic_data_loan_foreclosure、bpms.sync_loan_foreclosure</t>
        </is>
      </c>
      <c r="K7" s="6" t="inlineStr"/>
    </row>
    <row r="8" ht="96" customHeight="1">
      <c r="A8" s="16" t="inlineStr">
        <is>
          <t>⑦ port.basic_data_loan_fcl</t>
        </is>
      </c>
      <c r="B8" s="16" t="inlineStr">
        <is>
          <t>L4 FCL 事实表（Redshift 快照中间）</t>
        </is>
      </c>
      <c r="C8" s="16" t="inlineStr">
        <is>
          <t>Redshift FCL 事实表——portnewrezfc 等经改名后 UNION 全 6 家 servicer 的统一列宽表(每贷款最新 dataasof)。 FCL 计算的统一入口；屏蔽各 servicer 列名差异。</t>
        </is>
      </c>
      <c r="D8" s="16" t="inlineStr">
        <is>
          <t>查‘统一列名后的 FCL 字段值’，或定位某下游字段来自哪根统一列。</t>
        </is>
      </c>
      <c r="E8" s="16" t="inlineStr">
        <is>
          <t>各家列名不同，先改名(tempfc.temp_basic_data_fcl)再 UNION 成一张统一事实表，下游只面对一套列名。</t>
        </is>
      </c>
      <c r="F8" s="16" t="inlineStr">
        <is>
          <t>1 行/贷款（每贷款最新 dataasof）。</t>
        </is>
      </c>
      <c r="G8" s="16" t="inlineStr">
        <is>
          <t>Servicer 文件(L0) → newrez.portnewrezfc(+各家对应表) → tempfc.temp_basic_data_fcl(改名) → port.basic_data_loan_fcl〔UNION，basic_data_pool_config.py〕</t>
        </is>
      </c>
      <c r="H8" s="16" t="inlineStr">
        <is>
          <t>Servicer 文件(L0)、newrez.portnewrezfc、(sls/carrington/mrc/fci/selene 对应源表)、tempfc.temp_basic_data_fcl</t>
        </is>
      </c>
      <c r="I8" s="16" t="inlineStr">
        <is>
          <t>basic_data_loan_fcl → { port.basic_data_loan_foreclosure〔GEN_FCL_DETAIL :253-305〕 / port.fcl_stage_info〔GEN_FCL_STAGE :1774-2440〕 / port.basic_data_loan_foreclosure_hold〔:466-768〕 / port.basic_data_loan_foreclosure_loss_mitigation〔:799-843〕 / port.basic_data_loan_foreclosure_bankruptcy〔:331-370〕 } → bpms.sync_* → 视图 → BPS</t>
        </is>
      </c>
      <c r="J8" s="16" t="inlineStr">
        <is>
          <t>port.basic_data_loan_foreclosure、port.fcl_stage_info、port.basic_data_loan_foreclosure_hold、port.basic_data_loan_foreclosure_loss_mitigation、port.basic_data_loan_foreclosure_bankruptcy、bpms.sync_loan_foreclosure、bpms.sync_fcl_stage_info、bpms.sync_loan_foreclosure_hold、bpms.sync_loan_foreclosure_loss_mitigation、bpms.sync_loan_foreclosure_bankruptcy、bpms.biz_data_view_loan_details_foreclosure</t>
        </is>
      </c>
      <c r="K8" s="16" t="inlineStr"/>
    </row>
    <row r="9" ht="96" customHeight="1">
      <c r="A9" s="6" t="inlineStr">
        <is>
          <t>⑧ port.basic_data_loan_foreclosure</t>
        </is>
      </c>
      <c r="B9" s="6" t="inlineStr">
        <is>
          <t>L4 FCL 聚合（时间线，1 行/贷款）</t>
        </is>
      </c>
      <c r="C9" s="6" t="inlineStr">
        <is>
          <t>Redshift FCL 聚合表(1 行/贷款)——一笔贷款端到端法拍时间线：各里程碑日期、当前状态(summary_foreclosure_status)、司法标志、在法拍天数(summary_days_in_fcl)。 bpms.sync_loan_foreclosure(BPS 主表)的直接上游；法拍主视图的数据底座。</t>
        </is>
      </c>
      <c r="D9" s="6" t="inlineStr">
        <is>
          <t>查某贷款法拍‘何时进入各里程碑/当前状态/在法拍多少天/为何退出’。</t>
        </is>
      </c>
      <c r="E9" s="6" t="inlineStr">
        <is>
          <t>把事实表里散落的里程碑/状态按业务规则(GEN_FCL_DETAIL CASE)收敛成 1 行/贷款的可读时间线；退出原因直接取 servicer 的 fcremovaldesc(无解码表)。</t>
        </is>
      </c>
      <c r="F9" s="6" t="inlineStr">
        <is>
          <t>1 行/贷款（含在途 + 已结）。</t>
        </is>
      </c>
      <c r="G9" s="6" t="inlineStr">
        <is>
          <t>… → port.basic_data_loan_fcl → port.basic_data_loan_foreclosure〔GEN_FCL_DETAIL basic_data_pool_config.py:253-305；状态 CASE :273；司法 :277-279；在法拍天数 :1628〕</t>
        </is>
      </c>
      <c r="H9" s="6" t="inlineStr">
        <is>
          <t>port.basic_data_loan_fcl、tempfc.temp_basic_data_fcl、newrez.portnewrezfc、Servicer 文件(L0)</t>
        </is>
      </c>
      <c r="I9" s="6" t="inlineStr">
        <is>
          <t>basic_data_loan_foreclosure → (Redshift→MySQL 同步 df_db_util.py:665-699 sync_to_mysql / 702-726 update_to_mysql) → bpms.sync_loan_foreclosure〔GEN_FORECLOSURE asset_managment_config.py:535-608；实时天数校正 :597-598〕 → bpms.biz_data_view_loan_details_foreclosure(视图) → BPS Summary/Timeline 面板</t>
        </is>
      </c>
      <c r="J9" s="6" t="inlineStr">
        <is>
          <t>bpms.sync_loan_foreclosure、bpms.biz_data_view_loan_details_foreclosure</t>
        </is>
      </c>
      <c r="K9" s="6" t="inlineStr"/>
    </row>
    <row r="10" ht="96" customHeight="1">
      <c r="A10" s="16" t="inlineStr">
        <is>
          <t>⑨ port.basic_data_fcl_related</t>
        </is>
      </c>
      <c r="B10" s="16" t="inlineStr">
        <is>
          <t>L4 FCL 关联/过滤中间表</t>
        </is>
      </c>
      <c r="C10" s="16" t="inlineStr">
        <is>
          <t>FCL 关联属性中间表(14 列)——诉讼标志、清算类型、BK 标志、违约原因、delq_status 等。 给 stage 计算与过滤提供‘关联属性/分组键’(delq_status → stage group)。</t>
        </is>
      </c>
      <c r="D10" s="16" t="inlineStr">
        <is>
          <t>查某贷款 stage 分组依据、关联诉讼/清算/违约属性。</t>
        </is>
      </c>
      <c r="E10" s="16" t="inlineStr">
        <is>
          <t>stage 计算需把逾期支线的 delq_status 与 FCL 属性合并；单列一张关联表承接，避免主时间线表过宽。</t>
        </is>
      </c>
      <c r="F10" s="16" t="inlineStr">
        <is>
          <t>1 行/贷款（最新 dataasof）。</t>
        </is>
      </c>
      <c r="G10" s="16" t="inlineStr">
        <is>
          <t>{ port.basic_data_loan_fcl(FCL 属性) + port.basic_data_daily_loan_common_clean.delinq(逾期码) } → port.basic_data_fcl_related〔basic_data_pool_config.py〕</t>
        </is>
      </c>
      <c r="H10" s="16" t="inlineStr">
        <is>
          <t>port.basic_data_loan_fcl、port.basic_data_daily_loan_common_clean</t>
        </is>
      </c>
      <c r="I10" s="16" t="inlineStr">
        <is>
          <t>basic_data_fcl_related.delq_status → port.fcl_stage_info.group(stage 分组) → bpms.sync_fcl_stage_info → 视图 → BPS Stage 面板</t>
        </is>
      </c>
      <c r="J10" s="16" t="inlineStr">
        <is>
          <t>port.fcl_stage_info、bpms.sync_fcl_stage_info、bpms.biz_data_view_loan_details_foreclosure</t>
        </is>
      </c>
      <c r="K10" s="16" t="inlineStr"/>
    </row>
    <row r="11" ht="96" customHeight="1">
      <c r="A11" s="6" t="inlineStr">
        <is>
          <t>⑩ port.fcl_stage_info</t>
        </is>
      </c>
      <c r="B11" s="6" t="inlineStr">
        <is>
          <t>L4 阶段表（Redshift）</t>
        </is>
      </c>
      <c r="C11" s="6" t="inlineStr">
        <is>
          <t>Redshift 阶段表(48 列)——把法拍拆成 6 大阶段，每阶段 5 维(开始/天数/扣除 LM-Hold 重叠等)，每贷款最新 fctrdt。 bpms.sync_fcl_stage_info(BPS 聚合 Stage/Timeline)的上游；面板‘各阶段停留天数’的底座。</t>
        </is>
      </c>
      <c r="D11" s="6" t="inlineStr">
        <is>
          <t>查某贷款‘在每个阶段停留多久、扣除 LM/Hold 后净时长、当前在哪个阶段组’。</t>
        </is>
      </c>
      <c r="E11" s="6" t="inlineStr">
        <is>
          <t>业务关心‘卡在哪一步多久’；阶段口径复杂(N:N 扣 LM/Hold 重叠)，单列一张表算清，并 JOIN portfunding 取 funding 维。</t>
        </is>
      </c>
      <c r="F11" s="6" t="inlineStr">
        <is>
          <t>1 行/贷款/fctrdt。</t>
        </is>
      </c>
      <c r="G11" s="6" t="inlineStr">
        <is>
          <t>{ port.basic_data_loan_fcl + port.basic_data_fcl_related(delq_status 分组) + port.portfunding(JOIN) } → port.fcl_stage_info〔GEN_FCL_STAGE basic_data_pool_config.py:1774-2440〕</t>
        </is>
      </c>
      <c r="H11" s="6" t="inlineStr">
        <is>
          <t>port.basic_data_loan_fcl、port.basic_data_fcl_related、port.basic_data_daily_loan_common_clean、port.portfunding</t>
        </is>
      </c>
      <c r="I11" s="6" t="inlineStr">
        <is>
          <t>fcl_stage_info → bpms.sync_fcl_stage_info〔GET_FCL_STAGE_DATA asset_managment_config.py:925-929，JOIN port.portfunding〕 → 视图 → BPS Stage 面板</t>
        </is>
      </c>
      <c r="J11" s="6" t="inlineStr">
        <is>
          <t>bpms.sync_fcl_stage_info、bpms.biz_data_view_loan_details_foreclosure</t>
        </is>
      </c>
      <c r="K11" s="6" t="inlineStr"/>
    </row>
    <row r="12" ht="96" customHeight="1">
      <c r="A12" s="16" t="inlineStr">
        <is>
          <t>⑪ port.portfunding</t>
        </is>
      </c>
      <c r="B12" s="16" t="inlineStr">
        <is>
          <t>L4 维度（融资池）</t>
        </is>
      </c>
      <c r="C12" s="16" t="inlineStr">
        <is>
          <t>融资池表(57 列，1 行/贷款)——funding/deal 标识(fundingid/dealid)与池属性。 作为 JOIN 维度为 FCL 输出补 funding_id/bid_id，并做入库过滤。</t>
        </is>
      </c>
      <c r="D12" s="16" t="inlineStr">
        <is>
          <t>查某贷款属于哪个融资池/deal，或为何被 sync 过滤进/出。</t>
        </is>
      </c>
      <c r="E12" s="16" t="inlineStr">
        <is>
          <t>BPS 需按 funding/bid 维展示与归集；FCL 表本身不含，运行时 JOIN portfunding 补齐(dealid→bid_id, fundingid→funding_id)。</t>
        </is>
      </c>
      <c r="F12" s="16" t="inlineStr">
        <is>
          <t>1 行/贷款（当前态）。</t>
        </is>
      </c>
      <c r="G12" s="16" t="inlineStr">
        <is>
          <t>投资/融资域(非 servicer FCL 文件) → port.portfunding</t>
        </is>
      </c>
      <c r="H12" s="16" t="inlineStr">
        <is>
          <t>投资/融资域来源（非 FCL servicer 文件）</t>
        </is>
      </c>
      <c r="I12" s="16" t="inlineStr">
        <is>
          <t>portfunding ⋈ { port.fcl_stage_info / GEN_FORECLOSURE(asset_managment_config.py:535-608) } → bpms.sync_fcl_stage_info / bpms.sync_loan_foreclosure → 视图 → BPS</t>
        </is>
      </c>
      <c r="J12" s="16" t="inlineStr">
        <is>
          <t>port.fcl_stage_info、bpms.sync_fcl_stage_info、bpms.sync_loan_foreclosure、bpms.biz_data_view_loan_details_foreclosure</t>
        </is>
      </c>
      <c r="K12" s="16" t="inlineStr"/>
    </row>
    <row r="13" ht="96" customHeight="1">
      <c r="A13" s="6" t="inlineStr">
        <is>
          <t>⑫ port.basic_data_loan_foreclosure_hold</t>
        </is>
      </c>
      <c r="B13" s="6" t="inlineStr">
        <is>
          <t>L4 Hold 历史（Redshift 长表）</t>
        </is>
      </c>
      <c r="C13" s="6" t="inlineStr">
        <is>
          <t>Redshift Hold 历史(长表，1 行/Hold)——把源表 4 个 Hold 槽(fchold1..4)拆成长格式；Carrington 多 Hold 先排名压进 4 槽。 bpms.sync_loan_foreclosure_hold(BPS Hold 全历史)的上游；支撑‘一笔法拍多个 Hold’。</t>
        </is>
      </c>
      <c r="D13" s="6" t="inlineStr">
        <is>
          <t>查某贷款全部 Hold 的起止/原因/历史。</t>
        </is>
      </c>
      <c r="E13" s="6" t="inlineStr">
        <is>
          <t>源表把 Hold 压成 4 个宽槽，业务要全历史，需拆槽(unpivot)成 1 行/Hold；一笔 FCL 多 Hold 是常态(非数据错误)。</t>
        </is>
      </c>
      <c r="F13" s="6" t="inlineStr">
        <is>
          <t>1 行/贷款/Hold 段。</t>
        </is>
      </c>
      <c r="G13" s="6" t="inlineStr">
        <is>
          <t>newrez.portnewrezfc(fchold1..4) → port.basic_data_loan_fcl → port.basic_data_loan_foreclosure_hold〔拆槽 basic_data_pool_config.py:466-768；Carrington 排名 :504-629〕</t>
        </is>
      </c>
      <c r="H13" s="6" t="inlineStr">
        <is>
          <t>newrez.portnewrezfc、port.basic_data_loan_fcl</t>
        </is>
      </c>
      <c r="I13" s="6" t="inlineStr">
        <is>
          <t>→ bpms.sync_loan_foreclosure_hold〔GEN_FORECLOSURE_HOLD asset_managment_config.py:847-894〕 → 视图 → BPS Hold 面板</t>
        </is>
      </c>
      <c r="J13" s="6" t="inlineStr">
        <is>
          <t>bpms.sync_loan_foreclosure_hold、bpms.biz_data_view_loan_details_foreclosure</t>
        </is>
      </c>
      <c r="K13" s="6" t="inlineStr"/>
    </row>
    <row r="14" ht="96" customHeight="1">
      <c r="A14" s="16" t="inlineStr">
        <is>
          <t>⑬ port.basic_data_loan_foreclosure_loss_mitigation</t>
        </is>
      </c>
      <c r="B14" s="16" t="inlineStr">
        <is>
          <t>L4 LM 历史（Redshift）</t>
        </is>
      </c>
      <c r="C14" s="16" t="inlineStr">
        <is>
          <t>Redshift LM 历史(1 行/LM 周期)——按 (loanid, dealstartdate)，datadic 解码 lmdeal/lmprogram/lmstatus/lmdecision。 bpms.sync_loan_foreclosure_loss_mitigation 的上游；支撑‘一笔贷款多 LM 周期’。</t>
        </is>
      </c>
      <c r="D14" s="16" t="inlineStr">
        <is>
          <t>查某贷款全部 LM 周期/项目/决定(已解码)。</t>
        </is>
      </c>
      <c r="E14" s="16" t="inlineStr">
        <is>
          <t>LM 多周期是常态；编码需经 datadic 解码成业务文案(JOIN key 拼 code+'.0')。</t>
        </is>
      </c>
      <c r="F14" s="16" t="inlineStr">
        <is>
          <t>1 行/贷款/LM 周期。</t>
        </is>
      </c>
      <c r="G14" s="16" t="inlineStr">
        <is>
          <t>{ newrez.portnewrezlm + newrez.portnewrezdatadic } → port.basic_data_loan_fcl 体系 → port.basic_data_loan_foreclosure_loss_mitigation〔basic_data_pool_config.py:799-843〕</t>
        </is>
      </c>
      <c r="H14" s="16" t="inlineStr">
        <is>
          <t>newrez.portnewrezlm、newrez.portnewrezdatadic、port.basic_data_loan_fcl</t>
        </is>
      </c>
      <c r="I14" s="16" t="inlineStr">
        <is>
          <t>→ bpms.sync_loan_foreclosure_loss_mitigation〔asset_managment_config.py:799-819〕 → 视图 → BPS LM 面板</t>
        </is>
      </c>
      <c r="J14" s="16" t="inlineStr">
        <is>
          <t>bpms.sync_loan_foreclosure_loss_mitigation、bpms.biz_data_view_loan_details_foreclosure</t>
        </is>
      </c>
      <c r="K14" s="16" t="inlineStr"/>
    </row>
    <row r="15" ht="96" customHeight="1">
      <c r="A15" s="6" t="inlineStr">
        <is>
          <t>⑭ port.basic_data_loan_foreclosure_bankruptcy</t>
        </is>
      </c>
      <c r="B15" s="6" t="inlineStr">
        <is>
          <t>L4 破产历史（Redshift）</t>
        </is>
      </c>
      <c r="C15" s="6" t="inlineStr">
        <is>
          <t>Redshift 破产历史(1 行/破产申请)——datadic 解码 bkstatus；Carrington 专有 mfr_filed_date(Newrez 为 NULL)。 bpms.sync_loan_foreclosure_bankruptcy 的上游。</t>
        </is>
      </c>
      <c r="D15" s="6" t="inlineStr">
        <is>
          <t>查某贷款全部破产申请/章节/状态(已解码)。</t>
        </is>
      </c>
      <c r="E15" s="6" t="inlineStr">
        <is>
          <t>破产可多次申请；编码经 datadic 解码。</t>
        </is>
      </c>
      <c r="F15" s="6" t="inlineStr">
        <is>
          <t>1 行/贷款/破产申请。</t>
        </is>
      </c>
      <c r="G15" s="6" t="inlineStr">
        <is>
          <t>{ newrez.portnewrezbk + newrez.portnewrezdatadic } → port.basic_data_loan_foreclosure_bankruptcy〔basic_data_pool_config.py:331-370〕</t>
        </is>
      </c>
      <c r="H15" s="6" t="inlineStr">
        <is>
          <t>newrez.portnewrezbk、newrez.portnewrezdatadic、port.basic_data_loan_fcl</t>
        </is>
      </c>
      <c r="I15" s="6" t="inlineStr">
        <is>
          <t>→ bpms.sync_loan_foreclosure_bankruptcy〔asset_managment_config.py:822-843〕 → 视图 → BPS 破产面板</t>
        </is>
      </c>
      <c r="J15" s="6" t="inlineStr">
        <is>
          <t>bpms.sync_loan_foreclosure_bankruptcy、bpms.biz_data_view_loan_details_foreclosure</t>
        </is>
      </c>
      <c r="K15" s="6" t="inlineStr"/>
    </row>
    <row r="16" ht="96" customHeight="1">
      <c r="A16" s="16" t="inlineStr">
        <is>
          <t>⑮ tempfc.temp_basic_data_fcl</t>
        </is>
      </c>
      <c r="B16" s="16" t="inlineStr">
        <is>
          <t>L4 改名临时表（Redshift 运行时中间产物）</t>
        </is>
      </c>
      <c r="C16" s="16" t="inlineStr">
        <is>
          <t>Redshift 运行时改名临时表(37 列)——把各 servicer 原始列(如 fcreferraldate)改成统一列(referral_start_date)的中间产物。 port.basic_data_loan_fcl 的直接上游；承接‘改名’这一步。</t>
        </is>
      </c>
      <c r="D16" s="16" t="inlineStr">
        <is>
          <t>排查‘统一列名 ↔ 源列名’映射、定位改名是否正确。</t>
        </is>
      </c>
      <c r="E16" s="16" t="inlineStr">
        <is>
          <t>UNION 前必须先统一列名；单列一张临时表做改名，逻辑清晰、便于调试；运行时产物。</t>
        </is>
      </c>
      <c r="F16" s="16" t="inlineStr">
        <is>
          <t>1 行/贷款/dataasof。</t>
        </is>
      </c>
      <c r="G16" s="16" t="inlineStr">
        <is>
          <t>newrez.portnewrezfc(各家源) → tempfc.temp_basic_data_fcl〔改名 basic_data_pool_config.py ~:1538-1565〕</t>
        </is>
      </c>
      <c r="H16" s="16" t="inlineStr">
        <is>
          <t>newrez.portnewrezfc、Servicer 文件(L0)</t>
        </is>
      </c>
      <c r="I16" s="16" t="inlineStr">
        <is>
          <t>→ port.basic_data_loan_fcl(UNION) → FCL 业务族(foreclosure/stage/hold/lm/bk) → bpms.sync_* → BPS</t>
        </is>
      </c>
      <c r="J16" s="16" t="inlineStr">
        <is>
          <t>port.basic_data_loan_fcl、port.basic_data_loan_foreclosure、port.fcl_stage_info、port.basic_data_loan_foreclosure_hold、port.basic_data_loan_foreclosure_loss_mitigation、port.basic_data_loan_foreclosure_bankruptcy</t>
        </is>
      </c>
      <c r="K16" s="16" t="inlineStr"/>
    </row>
    <row r="17" ht="96" customHeight="1">
      <c r="A17" s="6" t="inlineStr">
        <is>
          <t>⑯ port.basic_data_daily_loan_common</t>
        </is>
      </c>
      <c r="B17" s="6" t="inlineStr">
        <is>
          <t>L2 逾期支线 统一日表（Redshift）</t>
        </is>
      </c>
      <c r="C17" s="6" t="inlineStr">
        <is>
          <t>逾期支线 L2 统一日表(78 列)——全 servicer UNION 后的标准日表，含 delq_status、fcl_flag、lm_flag 等(asofdate)。 逾期/状态归一的统一入口；L3 清洗的上游。</t>
        </is>
      </c>
      <c r="D17" s="6" t="inlineStr">
        <is>
          <t>查‘统一后的每日逾期/状态原值’、对账各家归一。</t>
        </is>
      </c>
      <c r="E17" s="6" t="inlineStr">
        <is>
          <t>各家逾期/状态字段名与取值不同，先 UNION 成统一日表；注意 fcl_flag 在此并未真正归一(Newrez/SLS 为 NULL)，真正归一在 L4 FCL 业务族。</t>
        </is>
      </c>
      <c r="F17" s="6" t="inlineStr">
        <is>
          <t>1 行/贷款/asofdate。</t>
        </is>
      </c>
      <c r="G17" s="6" t="inlineStr">
        <is>
          <t>Servicer 文件(L0) → newrez.portnewrezgeneral(等各家) → port.portdaily_v2〔portdaily_config.py〕 → port.basic_data_daily_loan_common〔daily_data_loan_common_config.py〕</t>
        </is>
      </c>
      <c r="H17" s="6" t="inlineStr">
        <is>
          <t>Servicer 文件(L0)、newrez.portnewrezgeneral、newrez.portnewrezfc、port.portdaily_v2</t>
        </is>
      </c>
      <c r="I17" s="6" t="inlineStr">
        <is>
          <t>→ port.basic_data_daily_loan_common_clean(L3) → { port.portmonthbase / port.basic_data_fcl_related.delq_status / port.fcl_stage_info.group } → BPS</t>
        </is>
      </c>
      <c r="J17" s="6" t="inlineStr">
        <is>
          <t>port.basic_data_daily_loan_common_clean、port.basic_data_fcl_related、port.fcl_stage_info、port.portmonthbase</t>
        </is>
      </c>
      <c r="K17" s="6" t="inlineStr">
        <is>
          <t>fcl_flag 在 L2 未归一（直传，Newrez/SLS NULL）；真正归一在 L4 FCL 业务族。</t>
        </is>
      </c>
    </row>
    <row r="18" ht="96" customHeight="1">
      <c r="A18" s="16" t="inlineStr">
        <is>
          <t>⑰ port.basic_data_daily_loan_common_clean</t>
        </is>
      </c>
      <c r="B18" s="16" t="inlineStr">
        <is>
          <t>L3 逾期支线 清洗日表（Redshift）</t>
        </is>
      </c>
      <c r="C18" s="16" t="inlineStr">
        <is>
          <t>逾期支线 L3 清洗日表(103 列)——把 delq_status 经 CASE 归一成标准 delinq 码(C/D30/D60/D90/D120P/FCL/REO/P)，并用 days360(nextduedate,fctrdt) 分桶(fctrdt)。 标准逾期码的单一来源；喂 portmonthbase 与 FCL 业务族(stage 分组)。</t>
        </is>
      </c>
      <c r="D18" s="16" t="inlineStr">
        <is>
          <t>查‘标准化后的逾期码/天数桶口径’、核对 days360 计算。</t>
        </is>
      </c>
      <c r="E18" s="16" t="inlineStr">
        <is>
          <t>业务要统一的 MBA 逾期码；文本状态(Foreclosure*/REO/Paid*)直接映射，其余按 days360 天数分桶。注意：FCL 码只来自 servicer 显式法拍状态，绝不由 days360 推导。</t>
        </is>
      </c>
      <c r="F18" s="16" t="inlineStr">
        <is>
          <t>1 行/贷款/fctrdt。</t>
        </is>
      </c>
      <c r="G18" s="16" t="inlineStr">
        <is>
          <t>… → port.basic_data_daily_loan_common → port.basic_data_daily_loan_common_clean〔daily_data_loan_common_clean_config.py，CASE + days360〕</t>
        </is>
      </c>
      <c r="H18" s="16" t="inlineStr">
        <is>
          <t>port.basic_data_daily_loan_common、port.portdaily_v2、newrez.portnewrezgeneral</t>
        </is>
      </c>
      <c r="I18" s="16" t="inlineStr">
        <is>
          <t>→ { port.portmonthbase / port.basic_data_fcl_related.delq_status / port.fcl_stage_info.group } → BPS。另：旁支 port.basic_data_loan_delinq_clean(含 is_ghost_payoff 等)实测存在，但其生成代码不在 PrefectFlow 仓库(grep 0 命中，开放问题)。</t>
        </is>
      </c>
      <c r="J18" s="16" t="inlineStr">
        <is>
          <t>port.basic_data_fcl_related、port.fcl_stage_info、port.portmonthbase</t>
        </is>
      </c>
      <c r="K18" s="16" t="inlineStr">
        <is>
          <t>旁支 port.basic_data_loan_delinq_clean 生成代码不在仓库（grep 0 命中，开放问题），未列为确定下游。</t>
        </is>
      </c>
    </row>
    <row r="19" ht="96" customHeight="1">
      <c r="A19" s="6" t="inlineStr">
        <is>
          <t>⑱ bpms.sync_loan_foreclosure</t>
        </is>
      </c>
      <c r="B19" s="6" t="inlineStr">
        <is>
          <t>L5 BPS 直接对接（主表）</t>
        </is>
      </c>
      <c r="C19" s="6" t="inlineStr">
        <is>
          <t>BPS 法拍主表(72 列，当前态)——Summary/Timeline/target 主面板的数据源。 BPS 直接对接表；法拍主面板。</t>
        </is>
      </c>
      <c r="D19" s="6" t="inlineStr">
        <is>
          <t>查 BPS 主面板某字段的落库值、排查面板与 Redshift 是否一致。</t>
        </is>
      </c>
      <c r="E19" s="6" t="inlineStr">
        <is>
          <t>L4 算好后同步到 MySQL 供 BPS 读；采用覆盖更新(coverage upsert)，并对天数做 NY 当日实时校正(+DATEDIFF)。</t>
        </is>
      </c>
      <c r="F19" s="6" t="inlineStr">
        <is>
          <t>1 行/贷款（过滤 timeline_referred… IS NOT NULL，即已进入法拍）。</t>
        </is>
      </c>
      <c r="G19" s="6" t="inlineStr">
        <is>
          <t>… → port.basic_data_loan_foreclosure(Redshift) → (sync_to_mysql/update_to_mysql df_db_util.py:665-726) → bpms.sync_loan_foreclosure〔GEN_FORECLOSURE asset_managment_config.py:535-608〕（JOIN port.portfunding 取 funding_id/bid_id）</t>
        </is>
      </c>
      <c r="H19" s="6" t="inlineStr">
        <is>
          <t>port.basic_data_loan_foreclosure、port.portfunding、port.basic_data_loan_fcl</t>
        </is>
      </c>
      <c r="I19" s="6" t="inlineStr">
        <is>
          <t>→ bpms.biz_data_view_loan_details_foreclosure(视图) → BPS 法拍详情/主面板</t>
        </is>
      </c>
      <c r="J19" s="6" t="inlineStr">
        <is>
          <t>bpms.biz_data_view_loan_details_foreclosure</t>
        </is>
      </c>
      <c r="K19" s="6" t="inlineStr">
        <is>
          <t>样例 Loan5(纯 Chapter 13 BK，未进法拍)不在本表，故本 dump 命中 4/5。</t>
        </is>
      </c>
    </row>
    <row r="20" ht="96" customHeight="1">
      <c r="A20" s="16" t="inlineStr">
        <is>
          <t>⑲ bpms.sync_fcl_stage_info</t>
        </is>
      </c>
      <c r="B20" s="16" t="inlineStr">
        <is>
          <t>L5 BPS 直接对接（阶段聚合）</t>
        </is>
      </c>
      <c r="C20" s="16" t="inlineStr">
        <is>
          <t>BPS 聚合 Stage/Timeline 表(57 列)——各阶段停留天数/时间线。 BPS Stage 面板数据源。</t>
        </is>
      </c>
      <c r="D20" s="16" t="inlineStr">
        <is>
          <t>查 BPS 各阶段天数落库值。</t>
        </is>
      </c>
      <c r="E20" s="16" t="inlineStr">
        <is>
          <t>阶段口径在 Redshift 算清后同步；JOIN portfunding 带 funding 维。</t>
        </is>
      </c>
      <c r="F20" s="16" t="inlineStr">
        <is>
          <t>1 行/贷款/fctrdt（过滤 activefcflag=1 且 fcremovaldate IS NULL）。</t>
        </is>
      </c>
      <c r="G20" s="16" t="inlineStr">
        <is>
          <t>port.fcl_stage_info(⋈ port.portfunding) → bpms.sync_fcl_stage_info〔GET_FCL_STAGE_DATA asset_managment_config.py:925-929〕</t>
        </is>
      </c>
      <c r="H20" s="16" t="inlineStr">
        <is>
          <t>port.fcl_stage_info、port.portfunding</t>
        </is>
      </c>
      <c r="I20" s="16" t="inlineStr">
        <is>
          <t>→ bpms.biz_data_view_loan_details_foreclosure(视图) → BPS Stage 面板</t>
        </is>
      </c>
      <c r="J20" s="16" t="inlineStr">
        <is>
          <t>bpms.biz_data_view_loan_details_foreclosure</t>
        </is>
      </c>
      <c r="K20" s="16" t="inlineStr"/>
    </row>
    <row r="21" ht="96" customHeight="1">
      <c r="A21" s="6" t="inlineStr">
        <is>
          <t>⑳ bpms.biz_data_view_loan_details_foreclosure</t>
        </is>
      </c>
      <c r="B21" s="6" t="inlineStr">
        <is>
          <t>L5 BPS 详情页视图</t>
        </is>
      </c>
      <c r="C21" s="6" t="inlineStr">
        <is>
          <t>BPS 法拍详情页视图(104 列)——把主表 + stage + hold + lm + bk 用 LEFT JOIN 拼成详情页；含 actual/var 天数。 BPS 详情页的‘一站式’读取视图。</t>
        </is>
      </c>
      <c r="D21" s="6" t="inlineStr">
        <is>
          <t>查详情页某列从哪几张 sync 表拼来、actual vs target 差异。</t>
        </is>
      </c>
      <c r="E21" s="6" t="inlineStr">
        <is>
          <t>详情页要跨 5 张面板表聚合，用视图免去前端多次查询。</t>
        </is>
      </c>
      <c r="F21" s="6" t="inlineStr">
        <is>
          <t>1 行/贷款/fctrdt（取最新）。</t>
        </is>
      </c>
      <c r="G21" s="6" t="inlineStr">
        <is>
          <t>{ bpms.sync_loan_foreclosure + bpms.sync_fcl_stage_info + bpms.sync_loan_foreclosure_hold + bpms.sync_loan_foreclosure_loss_mitigation + bpms.sync_loan_foreclosure_bankruptcy } → 视图(LEFT JOIN，104 列)</t>
        </is>
      </c>
      <c r="H21" s="6" t="inlineStr">
        <is>
          <t>bpms.sync_loan_foreclosure、bpms.sync_fcl_stage_info、bpms.sync_loan_foreclosure_hold、bpms.sync_loan_foreclosure_loss_mitigation、bpms.sync_loan_foreclosure_bankruptcy</t>
        </is>
      </c>
      <c r="I21" s="6" t="inlineStr">
        <is>
          <t>→ BPS 法拍详情页 UI（5 面板）</t>
        </is>
      </c>
      <c r="J21" s="6" t="inlineStr">
        <is>
          <t>BPS 法拍详情页 UI</t>
        </is>
      </c>
      <c r="K21" s="6" t="inlineStr"/>
    </row>
    <row r="22" ht="96" customHeight="1">
      <c r="A22" s="16" t="inlineStr">
        <is>
          <t>㉑ bpms.sync_loan_foreclosure_hold</t>
        </is>
      </c>
      <c r="B22" s="16" t="inlineStr">
        <is>
          <t>L5 BPS 直接对接（Hold 历史）</t>
        </is>
      </c>
      <c r="C22" s="16" t="inlineStr">
        <is>
          <t>BPS Hold 全历史(每次变更一行)。 BPS Hold 面板。</t>
        </is>
      </c>
      <c r="D22" s="16" t="inlineStr">
        <is>
          <t>查 BPS 上某贷款全部 Hold 落库记录。</t>
        </is>
      </c>
      <c r="E22" s="16" t="inlineStr">
        <is>
          <t>见 ⑫；L4 拆槽后同步覆盖更新。</t>
        </is>
      </c>
      <c r="F22" s="16" t="inlineStr">
        <is>
          <t>1 行/Hold 段。</t>
        </is>
      </c>
      <c r="G22" s="16" t="inlineStr">
        <is>
          <t>port.basic_data_loan_foreclosure_hold → bpms.sync_loan_foreclosure_hold〔asset_managment_config.py:847-894〕</t>
        </is>
      </c>
      <c r="H22" s="16" t="inlineStr">
        <is>
          <t>port.basic_data_loan_foreclosure_hold</t>
        </is>
      </c>
      <c r="I22" s="16" t="inlineStr">
        <is>
          <t>→ bpms.biz_data_view_loan_details_foreclosure(视图) → BPS Hold 面板</t>
        </is>
      </c>
      <c r="J22" s="16" t="inlineStr">
        <is>
          <t>bpms.biz_data_view_loan_details_foreclosure</t>
        </is>
      </c>
      <c r="K22" s="16" t="inlineStr"/>
    </row>
    <row r="23" ht="96" customHeight="1">
      <c r="A23" s="6" t="inlineStr">
        <is>
          <t>㉒ bpms.sync_loan_foreclosure_loss_mitigation</t>
        </is>
      </c>
      <c r="B23" s="6" t="inlineStr">
        <is>
          <t>L5 BPS 直接对接（LM 周期历史）</t>
        </is>
      </c>
      <c r="C23" s="6" t="inlineStr">
        <is>
          <t>BPS LM 周期历史(1 行/LM 周期，已解码)。 BPS LM 面板。</t>
        </is>
      </c>
      <c r="D23" s="6" t="inlineStr">
        <is>
          <t>查 BPS 上某贷款全部 LM 周期落库记录。</t>
        </is>
      </c>
      <c r="E23" s="6" t="inlineStr">
        <is>
          <t>见 ⑬；L4 解码后同步覆盖更新。</t>
        </is>
      </c>
      <c r="F23" s="6" t="inlineStr">
        <is>
          <t>1 行/LM 周期。</t>
        </is>
      </c>
      <c r="G23" s="6" t="inlineStr">
        <is>
          <t>port.basic_data_loan_foreclosure_loss_mitigation → bpms.sync_loan_foreclosure_loss_mitigation〔asset_managment_config.py:799-819〕</t>
        </is>
      </c>
      <c r="H23" s="6" t="inlineStr">
        <is>
          <t>port.basic_data_loan_foreclosure_loss_mitigation</t>
        </is>
      </c>
      <c r="I23" s="6" t="inlineStr">
        <is>
          <t>→ bpms.biz_data_view_loan_details_foreclosure(视图) → BPS LM 面板</t>
        </is>
      </c>
      <c r="J23" s="6" t="inlineStr">
        <is>
          <t>bpms.biz_data_view_loan_details_foreclosure</t>
        </is>
      </c>
      <c r="K23" s="6" t="inlineStr"/>
    </row>
    <row r="24" ht="96" customHeight="1">
      <c r="A24" s="16" t="inlineStr">
        <is>
          <t>㉓ bpms.sync_loan_foreclosure_bankruptcy</t>
        </is>
      </c>
      <c r="B24" s="16" t="inlineStr">
        <is>
          <t>L5 BPS 直接对接（破产记录）</t>
        </is>
      </c>
      <c r="C24" s="16" t="inlineStr">
        <is>
          <t>BPS 破产记录(1 行/破产申请，已解码)。 BPS 破产面板。</t>
        </is>
      </c>
      <c r="D24" s="16" t="inlineStr">
        <is>
          <t>查 BPS 上某贷款全部破产记录落库值。</t>
        </is>
      </c>
      <c r="E24" s="16" t="inlineStr">
        <is>
          <t>见 ⑭；L4 解码后同步覆盖更新。</t>
        </is>
      </c>
      <c r="F24" s="16" t="inlineStr">
        <is>
          <t>1 行/破产申请。</t>
        </is>
      </c>
      <c r="G24" s="16" t="inlineStr">
        <is>
          <t>port.basic_data_loan_foreclosure_bankruptcy → bpms.sync_loan_foreclosure_bankruptcy〔asset_managment_config.py:822-843〕</t>
        </is>
      </c>
      <c r="H24" s="16" t="inlineStr">
        <is>
          <t>port.basic_data_loan_foreclosure_bankruptcy</t>
        </is>
      </c>
      <c r="I24" s="16" t="inlineStr">
        <is>
          <t>→ bpms.biz_data_view_loan_details_foreclosure(视图) → BPS 破产面板</t>
        </is>
      </c>
      <c r="J24" s="16" t="inlineStr">
        <is>
          <t>bpms.biz_data_view_loan_details_foreclosure</t>
        </is>
      </c>
      <c r="K24" s="16" t="inlineStr"/>
    </row>
    <row r="25" ht="96" customHeight="1">
      <c r="A25" s="6" t="inlineStr">
        <is>
          <t>㉔ newrez.portnewrezdatadic</t>
        </is>
      </c>
      <c r="B25" s="6" t="inlineStr">
        <is>
          <t>字典（Newrez 解码字典）</t>
        </is>
      </c>
      <c r="C25" s="6" t="inlineStr">
        <is>
          <t>Newrez FCL 解码字典(8 列)——把 LM/BK 等编码(LMDeal/LMProgram/LMStatus/LMDecision/BKStatus 等)映射成业务文案。 给 LM/BK 等表的编码解码提供查找表。</t>
        </is>
      </c>
      <c r="D25" s="6" t="inlineStr">
        <is>
          <t>查某编码的业务含义、核对解码是否正确。</t>
        </is>
      </c>
      <c r="E25" s="6" t="inlineStr">
        <is>
          <t>源表存编码省空间，展示需文案；统一一张字典 JOIN 解码(COALESCE(dict_desc, raw_code))。</t>
        </is>
      </c>
      <c r="F25" s="6" t="inlineStr">
        <is>
          <t>1 行/(field_name, code)。</t>
        </is>
      </c>
      <c r="G25" s="6" t="inlineStr">
        <is>
          <t>Servicer(Newrez) 文件(L0) → newrez.portnewrezdatadic</t>
        </is>
      </c>
      <c r="H25" s="6" t="inlineStr">
        <is>
          <t>Servicer 文件(S3, L0)</t>
        </is>
      </c>
      <c r="I25" s="6" t="inlineStr">
        <is>
          <t>⋈ basic_data_pool_config.py(LM :835-840 / BK :367) → port.basic_data_loan_foreclosure_loss_mitigation / _bankruptcy(解码列) → bpms.sync_loan_foreclosure_loss_mitigation / _bankruptcy → 视图 → BPS</t>
        </is>
      </c>
      <c r="J25" s="6" t="inlineStr">
        <is>
          <t>port.basic_data_loan_foreclosure_loss_mitigation、port.basic_data_loan_foreclosure_bankruptcy、bpms.sync_loan_foreclosure_loss_mitigation、bpms.sync_loan_foreclosure_bankruptcy</t>
        </is>
      </c>
      <c r="K25" s="6" t="inlineStr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50" customWidth="1" min="3" max="3"/>
    <col width="8" customWidth="1" min="4" max="4"/>
    <col width="12" customWidth="1" min="5" max="5"/>
  </cols>
  <sheetData>
    <row r="1" ht="20" customHeight="1">
      <c r="A1" s="1" t="inlineStr">
        <is>
          <t>doc 19 — 5 个样例贷款 · FCL 全链路全表全字段原始转储（prod）</t>
        </is>
      </c>
    </row>
    <row r="2">
      <c r="A2" s="2" t="inlineStr">
        <is>
          <t>文档目的</t>
        </is>
      </c>
      <c r="B2" s="3" t="inlineStr">
        <is>
          <t>把 5 个样例贷款在 FCL 全链路【所有表的全部字段】逐一列出（一个 sheet 一张表），完整呈现 Newrez 源 → Redshift 中间层 → BPS 的「业务 ↔ 数据」对应关系。doc 16 仅含各面板用到的部分字段，本表是其原始数据底座。</t>
        </is>
      </c>
      <c r="C2" s="19" t="n"/>
      <c r="D2" s="19" t="n"/>
      <c r="E2" s="20" t="n"/>
    </row>
    <row r="3">
      <c r="A3" s="2" t="inlineStr">
        <is>
          <t>数据来源</t>
        </is>
      </c>
      <c r="B3" s="3" t="inlineStr">
        <is>
          <t>全部 prod（只读）：mysql_prod（bpms + newrez 源）+ redshift_prod（port 中间层）。由 scripts/fetch_fcl_sample_raw_dump_data.py 预取到 outputs/fcl_sample_raw_dump_data.json。</t>
        </is>
      </c>
      <c r="C3" s="19" t="n"/>
      <c r="D3" s="19" t="n"/>
      <c r="E3" s="20" t="n"/>
    </row>
    <row r="4">
      <c r="A4" s="2" t="inlineStr">
        <is>
          <t>目标读者</t>
        </is>
      </c>
      <c r="B4" s="3" t="inlineStr">
        <is>
          <t>数据工程师 · 业务分析师 · 验证人员 · 接入工程师 · 未来 AI 会话</t>
        </is>
      </c>
      <c r="C4" s="19" t="n"/>
      <c r="D4" s="19" t="n"/>
      <c r="E4" s="20" t="n"/>
    </row>
    <row r="5">
      <c r="A5" s="2" t="inlineStr">
        <is>
          <t>取数口径</t>
        </is>
      </c>
      <c r="B5" s="3" t="inlineStr">
        <is>
          <t>Newrez 源 / Redshift 快照表 dataasof=MAX(每贷款)；stage/视图 fctrdt=MAX(每贷款)；sync 基础表当前态；多行表(hold/lm/bk)取全历史。日期统一 YYYY-MM-DD；空值显示 —。业务日对齐 2026-06-01。</t>
        </is>
      </c>
      <c r="C5" s="19" t="n"/>
      <c r="D5" s="19" t="n"/>
      <c r="E5" s="20" t="n"/>
    </row>
    <row r="6">
      <c r="A6" s="2" t="inlineStr">
        <is>
          <t>排版</t>
        </is>
      </c>
      <c r="B6" s="3" t="inlineStr">
        <is>
          <t>1 行/贷款的表 → 转置（字段为行 × 5 贷款列）；多行/贷款的表 → 平铺（记录为行 × 全字段列）。</t>
        </is>
      </c>
      <c r="C6" s="19" t="n"/>
      <c r="D6" s="19" t="n"/>
      <c r="E6" s="20" t="n"/>
    </row>
    <row r="7">
      <c r="A7" s="2" t="inlineStr">
        <is>
          <t>修订历史</t>
        </is>
      </c>
      <c r="B7" s="3" t="inlineStr">
        <is>
          <t>2026-06-06 v4：补 doc 21 §0.1 图缺的逾期支线 L2/L3 + 改名临时表共 3 张中间表（temp_basic_data_fcl / basic_data_daily_loan_common / _clean），全链路 20→23 表。2026-06-04 v3：每表加「查询 SQL」行 + 新增解码字典 sheet（portnewrezdatadic）。2026-06-04 v2：改用 prod 重取 + 新增 Redshift 中间层 8 表。2026-06-03 v1：dev · 12 sheet。</t>
        </is>
      </c>
      <c r="C7" s="19" t="n"/>
      <c r="D7" s="19" t="n"/>
      <c r="E7" s="20" t="n"/>
    </row>
    <row r="9" ht="20" customHeight="1">
      <c r="A9" s="4" t="inlineStr">
        <is>
          <t>一、Newrez 源数据表（mysql_prod.newrez）</t>
        </is>
      </c>
    </row>
    <row r="10">
      <c r="A10" s="5" t="inlineStr">
        <is>
          <t>Sheet</t>
        </is>
      </c>
      <c r="B10" s="5" t="inlineStr">
        <is>
          <t>表 / 视图</t>
        </is>
      </c>
      <c r="C10" s="5" t="inlineStr">
        <is>
          <t>用途</t>
        </is>
      </c>
      <c r="D10" s="5" t="inlineStr">
        <is>
          <t>列数</t>
        </is>
      </c>
      <c r="E10" s="5" t="inlineStr">
        <is>
          <t>本dump行/命中</t>
        </is>
      </c>
    </row>
    <row r="11">
      <c r="A11" s="6" t="inlineStr">
        <is>
          <t>② src·portnewrezfc</t>
        </is>
      </c>
      <c r="B11" s="6" t="inlineStr">
        <is>
          <t>newrez.portnewrezfc</t>
        </is>
      </c>
      <c r="C11" s="6" t="inlineStr">
        <is>
          <t>FCL 主源表（时间线/状态/Hold槽/金额/律师）</t>
        </is>
      </c>
      <c r="D11" s="6" t="inlineStr">
        <is>
          <t>63</t>
        </is>
      </c>
      <c r="E11" s="6" t="inlineStr">
        <is>
          <t>5/5 贷款</t>
        </is>
      </c>
    </row>
    <row r="12">
      <c r="A12" s="6" t="inlineStr">
        <is>
          <t>③ src·portnewrezbk</t>
        </is>
      </c>
      <c r="B12" s="6" t="inlineStr">
        <is>
          <t>newrez.portnewrezbk</t>
        </is>
      </c>
      <c r="C12" s="6" t="inlineStr">
        <is>
          <t>破产源表</t>
        </is>
      </c>
      <c r="D12" s="6" t="inlineStr">
        <is>
          <t>60</t>
        </is>
      </c>
      <c r="E12" s="6" t="inlineStr">
        <is>
          <t>5/5 贷款</t>
        </is>
      </c>
    </row>
    <row r="13">
      <c r="A13" s="6" t="inlineStr">
        <is>
          <t>④ src·portnewrezlm</t>
        </is>
      </c>
      <c r="B13" s="6" t="inlineStr">
        <is>
          <t>newrez.portnewrezlm</t>
        </is>
      </c>
      <c r="C13" s="6" t="inlineStr">
        <is>
          <t>损失缓解(LM)源表</t>
        </is>
      </c>
      <c r="D13" s="6" t="inlineStr">
        <is>
          <t>56</t>
        </is>
      </c>
      <c r="E13" s="6" t="inlineStr">
        <is>
          <t>5/5 贷款</t>
        </is>
      </c>
    </row>
    <row r="14">
      <c r="A14" s="6" t="inlineStr">
        <is>
          <t>⑤ src·portnewrezgeneral</t>
        </is>
      </c>
      <c r="B14" s="6" t="inlineStr">
        <is>
          <t>newrez.portnewrezgeneral</t>
        </is>
      </c>
      <c r="C14" s="6" t="inlineStr">
        <is>
          <t>通用源表（legalstatus / delinquency_status_mba 等）</t>
        </is>
      </c>
      <c r="D14" s="6" t="inlineStr">
        <is>
          <t>125</t>
        </is>
      </c>
      <c r="E14" s="6" t="inlineStr">
        <is>
          <t>5/5 贷款</t>
        </is>
      </c>
    </row>
    <row r="15">
      <c r="A15" s="6" t="inlineStr">
        <is>
          <t>⑥ src·portnewrezprop</t>
        </is>
      </c>
      <c r="B15" s="6" t="inlineStr">
        <is>
          <t>newrez.portnewrezprop</t>
        </is>
      </c>
      <c r="C15" s="6" t="inlineStr">
        <is>
          <t>房产源表（propertystate 等）</t>
        </is>
      </c>
      <c r="D15" s="6" t="inlineStr">
        <is>
          <t>32</t>
        </is>
      </c>
      <c r="E15" s="6" t="inlineStr">
        <is>
          <t>5/5 贷款</t>
        </is>
      </c>
    </row>
    <row r="16" ht="20" customHeight="1">
      <c r="A16" s="7" t="inlineStr">
        <is>
          <t>二、Redshift 中间层（redshift_prod.port）</t>
        </is>
      </c>
    </row>
    <row r="17">
      <c r="A17" s="8" t="inlineStr">
        <is>
          <t>Sheet</t>
        </is>
      </c>
      <c r="B17" s="8" t="inlineStr">
        <is>
          <t>表 / 视图</t>
        </is>
      </c>
      <c r="C17" s="8" t="inlineStr">
        <is>
          <t>用途</t>
        </is>
      </c>
      <c r="D17" s="8" t="inlineStr">
        <is>
          <t>列数</t>
        </is>
      </c>
      <c r="E17" s="8" t="inlineStr">
        <is>
          <t>本dump行/命中</t>
        </is>
      </c>
    </row>
    <row r="18">
      <c r="A18" s="6" t="inlineStr">
        <is>
          <t>⑦ mid·basic_data_loan_fcl</t>
        </is>
      </c>
      <c r="B18" s="6" t="inlineStr">
        <is>
          <t>port.basic_data_loan_fcl</t>
        </is>
      </c>
      <c r="C18" s="6" t="inlineStr">
        <is>
          <t>Redshift FCL 快照中间表（portnewrezfc 全量进此；每贷款取最新 dataasof）</t>
        </is>
      </c>
      <c r="D18" s="6" t="inlineStr">
        <is>
          <t>61</t>
        </is>
      </c>
      <c r="E18" s="6" t="inlineStr">
        <is>
          <t>5/5 贷款</t>
        </is>
      </c>
    </row>
    <row r="19">
      <c r="A19" s="6" t="inlineStr">
        <is>
          <t>⑧ mid·basic_data_loan_foreclosure</t>
        </is>
      </c>
      <c r="B19" s="6" t="inlineStr">
        <is>
          <t>port.basic_data_loan_foreclosure</t>
        </is>
      </c>
      <c r="C19" s="6" t="inlineStr">
        <is>
          <t>Redshift FCL 聚合表（1 行/贷款，sync_loan_foreclosure 的直接上游）</t>
        </is>
      </c>
      <c r="D19" s="6" t="inlineStr">
        <is>
          <t>62</t>
        </is>
      </c>
      <c r="E19" s="6" t="inlineStr">
        <is>
          <t>5/5 贷款</t>
        </is>
      </c>
    </row>
    <row r="20">
      <c r="A20" s="6" t="inlineStr">
        <is>
          <t>⑨ mid·basic_data_fcl_related</t>
        </is>
      </c>
      <c r="B20" s="6" t="inlineStr">
        <is>
          <t>port.basic_data_fcl_related</t>
        </is>
      </c>
      <c r="C20" s="6" t="inlineStr">
        <is>
          <t>FCL 关联/过滤中间表（delq_status 等；每贷款最新 dataasof）</t>
        </is>
      </c>
      <c r="D20" s="6" t="inlineStr">
        <is>
          <t>14</t>
        </is>
      </c>
      <c r="E20" s="6" t="inlineStr">
        <is>
          <t>5/5 贷款</t>
        </is>
      </c>
    </row>
    <row r="21">
      <c r="A21" s="6" t="inlineStr">
        <is>
          <t>⑩ mid·fcl_stage_info(RS)</t>
        </is>
      </c>
      <c r="B21" s="6" t="inlineStr">
        <is>
          <t>port.fcl_stage_info</t>
        </is>
      </c>
      <c r="C21" s="6" t="inlineStr">
        <is>
          <t>Redshift 阶段表（sync_fcl_stage_info 上游；每贷款最新 fctrdt）</t>
        </is>
      </c>
      <c r="D21" s="6" t="inlineStr">
        <is>
          <t>48</t>
        </is>
      </c>
      <c r="E21" s="6" t="inlineStr">
        <is>
          <t>5/5 贷款</t>
        </is>
      </c>
    </row>
    <row r="22">
      <c r="A22" s="6" t="inlineStr">
        <is>
          <t>⑪ mid·portfunding</t>
        </is>
      </c>
      <c r="B22" s="6" t="inlineStr">
        <is>
          <t>port.portfunding</t>
        </is>
      </c>
      <c r="C22" s="6" t="inlineStr">
        <is>
          <t>融资池表（入库 JOIN 过滤；1 行/贷款）</t>
        </is>
      </c>
      <c r="D22" s="6" t="inlineStr">
        <is>
          <t>57</t>
        </is>
      </c>
      <c r="E22" s="6" t="inlineStr">
        <is>
          <t>5/5 贷款</t>
        </is>
      </c>
    </row>
    <row r="23">
      <c r="A23" s="6" t="inlineStr">
        <is>
          <t>⑫ mid·hold</t>
        </is>
      </c>
      <c r="B23" s="6" t="inlineStr">
        <is>
          <t>port.basic_data_loan_foreclosure_hold</t>
        </is>
      </c>
      <c r="C23" s="6" t="inlineStr">
        <is>
          <t>Redshift Hold 历史（sync_loan_foreclosure_hold 上游）</t>
        </is>
      </c>
      <c r="D23" s="6" t="inlineStr">
        <is>
          <t>17</t>
        </is>
      </c>
      <c r="E23" s="6" t="inlineStr">
        <is>
          <t>21 行</t>
        </is>
      </c>
    </row>
    <row r="24">
      <c r="A24" s="6" t="inlineStr">
        <is>
          <t>⑬ mid·loss_mitigation</t>
        </is>
      </c>
      <c r="B24" s="6" t="inlineStr">
        <is>
          <t>port.basic_data_loan_foreclosure_loss_mitigation</t>
        </is>
      </c>
      <c r="C24" s="6" t="inlineStr">
        <is>
          <t>Redshift LM 历史（上游）</t>
        </is>
      </c>
      <c r="D24" s="6" t="inlineStr">
        <is>
          <t>16</t>
        </is>
      </c>
      <c r="E24" s="6" t="inlineStr">
        <is>
          <t>21 行</t>
        </is>
      </c>
    </row>
    <row r="25">
      <c r="A25" s="6" t="inlineStr">
        <is>
          <t>⑭ mid·bankruptcy</t>
        </is>
      </c>
      <c r="B25" s="6" t="inlineStr">
        <is>
          <t>port.basic_data_loan_foreclosure_bankruptcy</t>
        </is>
      </c>
      <c r="C25" s="6" t="inlineStr">
        <is>
          <t>Redshift 破产历史（上游）</t>
        </is>
      </c>
      <c r="D25" s="6" t="inlineStr">
        <is>
          <t>15</t>
        </is>
      </c>
      <c r="E25" s="6" t="inlineStr">
        <is>
          <t>3 行</t>
        </is>
      </c>
    </row>
    <row r="26">
      <c r="A26" s="6" t="inlineStr">
        <is>
          <t>⑮ mid·temp_basic_data_fcl</t>
        </is>
      </c>
      <c r="B26" s="6" t="inlineStr">
        <is>
          <t>tempfc.temp_basic_data_fcl</t>
        </is>
      </c>
      <c r="C26" s="6" t="inlineStr">
        <is>
          <t>Redshift 改名临时表（portnewrezfc 等原始列→统一列；运行时中间产物，basic_data_loan_fcl 的上游）</t>
        </is>
      </c>
      <c r="D26" s="6" t="inlineStr">
        <is>
          <t>37</t>
        </is>
      </c>
      <c r="E26" s="6" t="inlineStr">
        <is>
          <t>5/5 贷款</t>
        </is>
      </c>
    </row>
    <row r="27">
      <c r="A27" s="6" t="inlineStr">
        <is>
          <t>⑯ mid·daily_loan_common</t>
        </is>
      </c>
      <c r="B27" s="6" t="inlineStr">
        <is>
          <t>port.basic_data_daily_loan_common</t>
        </is>
      </c>
      <c r="C27" s="6" t="inlineStr">
        <is>
          <t>逾期支线 L2 统一日表（delq_status；每贷款最新 asofdate）</t>
        </is>
      </c>
      <c r="D27" s="6" t="inlineStr">
        <is>
          <t>78</t>
        </is>
      </c>
      <c r="E27" s="6" t="inlineStr">
        <is>
          <t>5/5 贷款</t>
        </is>
      </c>
    </row>
    <row r="28">
      <c r="A28" s="6" t="inlineStr">
        <is>
          <t>⑰ mid·daily_loan_common_clean</t>
        </is>
      </c>
      <c r="B28" s="6" t="inlineStr">
        <is>
          <t>port.basic_data_daily_loan_common_clean</t>
        </is>
      </c>
      <c r="C28" s="6" t="inlineStr">
        <is>
          <t>逾期支线 L3 清洗日表（delinq / days360；每贷款最新 fctrdt）</t>
        </is>
      </c>
      <c r="D28" s="6" t="inlineStr">
        <is>
          <t>103</t>
        </is>
      </c>
      <c r="E28" s="6" t="inlineStr">
        <is>
          <t>5/5 贷款</t>
        </is>
      </c>
    </row>
    <row r="29" ht="20" customHeight="1">
      <c r="A29" s="9" t="inlineStr">
        <is>
          <t>三、BPS 直接对接表（mysql_prod.bpms）</t>
        </is>
      </c>
    </row>
    <row r="30">
      <c r="A30" s="10" t="inlineStr">
        <is>
          <t>Sheet</t>
        </is>
      </c>
      <c r="B30" s="10" t="inlineStr">
        <is>
          <t>表 / 视图</t>
        </is>
      </c>
      <c r="C30" s="10" t="inlineStr">
        <is>
          <t>用途</t>
        </is>
      </c>
      <c r="D30" s="10" t="inlineStr">
        <is>
          <t>列数</t>
        </is>
      </c>
      <c r="E30" s="10" t="inlineStr">
        <is>
          <t>本dump行/命中</t>
        </is>
      </c>
    </row>
    <row r="31">
      <c r="A31" s="6" t="inlineStr">
        <is>
          <t>⑱ bps·sync_loan_foreclosure</t>
        </is>
      </c>
      <c r="B31" s="6" t="inlineStr">
        <is>
          <t>bpms.sync_loan_foreclosure</t>
        </is>
      </c>
      <c r="C31" s="6" t="inlineStr">
        <is>
          <t>Summary/Timeline/target 主表</t>
        </is>
      </c>
      <c r="D31" s="6" t="inlineStr">
        <is>
          <t>72</t>
        </is>
      </c>
      <c r="E31" s="6" t="inlineStr">
        <is>
          <t>4/5 贷款</t>
        </is>
      </c>
    </row>
    <row r="32">
      <c r="A32" s="6" t="inlineStr">
        <is>
          <t>⑲ bps·sync_fcl_stage_info</t>
        </is>
      </c>
      <c r="B32" s="6" t="inlineStr">
        <is>
          <t>bpms.sync_fcl_stage_info</t>
        </is>
      </c>
      <c r="C32" s="6" t="inlineStr">
        <is>
          <t>聚合 Stage/Timeline 表</t>
        </is>
      </c>
      <c r="D32" s="6" t="inlineStr">
        <is>
          <t>57</t>
        </is>
      </c>
      <c r="E32" s="6" t="inlineStr">
        <is>
          <t>5/5 贷款</t>
        </is>
      </c>
    </row>
    <row r="33">
      <c r="A33" s="6" t="inlineStr">
        <is>
          <t>⑳ bps·view_loan_details</t>
        </is>
      </c>
      <c r="B33" s="6" t="inlineStr">
        <is>
          <t>bpms.biz_data_view_loan_details_foreclosure（视图）</t>
        </is>
      </c>
      <c r="C33" s="6" t="inlineStr">
        <is>
          <t>详情页视图（actual/var 天数；每贷款最新 fctrdt）</t>
        </is>
      </c>
      <c r="D33" s="6" t="inlineStr">
        <is>
          <t>104</t>
        </is>
      </c>
      <c r="E33" s="6" t="inlineStr">
        <is>
          <t>5/5 贷款</t>
        </is>
      </c>
    </row>
    <row r="34">
      <c r="A34" s="6" t="inlineStr">
        <is>
          <t>㉑ bps·hold</t>
        </is>
      </c>
      <c r="B34" s="6" t="inlineStr">
        <is>
          <t>bpms.sync_loan_foreclosure_hold</t>
        </is>
      </c>
      <c r="C34" s="6" t="inlineStr">
        <is>
          <t>Hold 全历史（每次变更一行）</t>
        </is>
      </c>
      <c r="D34" s="6" t="inlineStr">
        <is>
          <t>15</t>
        </is>
      </c>
      <c r="E34" s="6" t="inlineStr">
        <is>
          <t>21 行</t>
        </is>
      </c>
    </row>
    <row r="35">
      <c r="A35" s="6" t="inlineStr">
        <is>
          <t>㉒ bps·loss_mitigation</t>
        </is>
      </c>
      <c r="B35" s="6" t="inlineStr">
        <is>
          <t>bpms.sync_loan_foreclosure_loss_mitigation</t>
        </is>
      </c>
      <c r="C35" s="6" t="inlineStr">
        <is>
          <t>LM 周期历史</t>
        </is>
      </c>
      <c r="D35" s="6" t="inlineStr">
        <is>
          <t>22</t>
        </is>
      </c>
      <c r="E35" s="6" t="inlineStr">
        <is>
          <t>21 行</t>
        </is>
      </c>
    </row>
    <row r="36">
      <c r="A36" s="6" t="inlineStr">
        <is>
          <t>㉓ bps·bankruptcy</t>
        </is>
      </c>
      <c r="B36" s="6" t="inlineStr">
        <is>
          <t>bpms.sync_loan_foreclosure_bankruptcy</t>
        </is>
      </c>
      <c r="C36" s="6" t="inlineStr">
        <is>
          <t>破产记录</t>
        </is>
      </c>
      <c r="D36" s="6" t="inlineStr">
        <is>
          <t>22</t>
        </is>
      </c>
      <c r="E36" s="6" t="inlineStr">
        <is>
          <t>3 行</t>
        </is>
      </c>
    </row>
    <row r="37" ht="20" customHeight="1">
      <c r="A37" s="11" t="inlineStr">
        <is>
          <t>四、解码字典（redshift_prod.newrez.portnewrezdatadic）</t>
        </is>
      </c>
    </row>
    <row r="38">
      <c r="A38" s="12" t="inlineStr">
        <is>
          <t>Sheet</t>
        </is>
      </c>
      <c r="B38" s="12" t="inlineStr">
        <is>
          <t>表</t>
        </is>
      </c>
      <c r="C38" s="12" t="inlineStr">
        <is>
          <t>用途</t>
        </is>
      </c>
      <c r="D38" s="12" t="inlineStr">
        <is>
          <t>字段</t>
        </is>
      </c>
      <c r="E38" s="12" t="inlineStr">
        <is>
          <t>本5贷款用到</t>
        </is>
      </c>
    </row>
    <row r="39">
      <c r="A39" s="6" t="inlineStr">
        <is>
          <t>㉔ dict·portnewrezdatadic</t>
        </is>
      </c>
      <c r="B39" s="6" t="inlineStr">
        <is>
          <t>newrez.portnewrezdatadic</t>
        </is>
      </c>
      <c r="C39" s="6" t="inlineStr">
        <is>
          <t>FCL 解码字典（仅列 5 样例用到的码；完整见数据字典 表26）</t>
        </is>
      </c>
      <c r="D39" s="6" t="inlineStr">
        <is>
          <t>8</t>
        </is>
      </c>
      <c r="E39" s="6" t="inlineStr">
        <is>
          <t>55 码</t>
        </is>
      </c>
    </row>
    <row r="40" ht="20" customHeight="1">
      <c r="A40" s="1" t="inlineStr">
        <is>
          <t>不纳入本转储的表</t>
        </is>
      </c>
    </row>
    <row r="41">
      <c r="A41" s="6" t="inlineStr">
        <is>
          <t>—</t>
        </is>
      </c>
      <c r="B41" s="6" t="inlineStr">
        <is>
          <t>port.basic_data_fcl_stage</t>
        </is>
      </c>
      <c r="C41" s="6" t="inlineStr">
        <is>
          <t>较旧的阶段中间表（实测仅到 2025-09，已被 port.fcl_stage_info 取代）</t>
        </is>
      </c>
      <c r="D41" s="19" t="n"/>
      <c r="E41" s="20" t="n"/>
    </row>
    <row r="43" ht="20" customHeight="1">
      <c r="A43" s="1" t="inlineStr">
        <is>
          <t>样例贷款（5）</t>
        </is>
      </c>
    </row>
    <row r="44">
      <c r="A44" s="6" t="inlineStr">
        <is>
          <t>Loan 1</t>
        </is>
      </c>
      <c r="B44" s="6" t="inlineStr">
        <is>
          <t>7727000088 —— Judicial(FL)·JUDGEMENT·Hold×7·LM×9</t>
        </is>
      </c>
      <c r="C44" s="19" t="n"/>
      <c r="D44" s="19" t="n"/>
      <c r="E44" s="20" t="n"/>
    </row>
    <row r="45">
      <c r="A45" s="6" t="inlineStr">
        <is>
          <t>Loan 2</t>
        </is>
      </c>
      <c r="B45" s="6" t="inlineStr">
        <is>
          <t>7727000672 —— Non-Judicial(MI)·REFERRAL</t>
        </is>
      </c>
      <c r="C45" s="19" t="n"/>
      <c r="D45" s="19" t="n"/>
      <c r="E45" s="20" t="n"/>
    </row>
    <row r="46">
      <c r="A46" s="6" t="inlineStr">
        <is>
          <t>Loan 3</t>
        </is>
      </c>
      <c r="B46" s="6" t="inlineStr">
        <is>
          <t>7727004200 —— Judicial(IL)·SALE</t>
        </is>
      </c>
      <c r="C46" s="19" t="n"/>
      <c r="D46" s="19" t="n"/>
      <c r="E46" s="20" t="n"/>
    </row>
    <row r="47">
      <c r="A47" s="6" t="inlineStr">
        <is>
          <t>Loan 4</t>
        </is>
      </c>
      <c r="B47" s="6" t="inlineStr">
        <is>
          <t>7727000065 —— BK + Hold×4 + 完结REO</t>
        </is>
      </c>
      <c r="C47" s="19" t="n"/>
      <c r="D47" s="19" t="n"/>
      <c r="E47" s="20" t="n"/>
    </row>
    <row r="48">
      <c r="A48" s="6" t="inlineStr">
        <is>
          <t>Loan 5</t>
        </is>
      </c>
      <c r="B48" s="6" t="inlineStr">
        <is>
          <t>7727000010 —— Chapter 13 Active BK（未入 FCL 管道）</t>
        </is>
      </c>
      <c r="C48" s="19" t="n"/>
      <c r="D48" s="19" t="n"/>
      <c r="E48" s="20" t="n"/>
    </row>
  </sheetData>
  <mergeCells count="19">
    <mergeCell ref="C41:E41"/>
    <mergeCell ref="B6:E6"/>
    <mergeCell ref="A1:E1"/>
    <mergeCell ref="B5:E5"/>
    <mergeCell ref="B45:E45"/>
    <mergeCell ref="B4:E4"/>
    <mergeCell ref="A16:E16"/>
    <mergeCell ref="B7:E7"/>
    <mergeCell ref="A37:E37"/>
    <mergeCell ref="B3:E3"/>
    <mergeCell ref="B47:E47"/>
    <mergeCell ref="B46:E46"/>
    <mergeCell ref="B48:E48"/>
    <mergeCell ref="B2:E2"/>
    <mergeCell ref="A29:E29"/>
    <mergeCell ref="A43:E43"/>
    <mergeCell ref="B44:E44"/>
    <mergeCell ref="A40:E40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4" t="inlineStr">
        <is>
          <t>newrez.portnewrezfc — FCL 主源表（时间线/状态/Hold槽/金额/律师）</t>
        </is>
      </c>
    </row>
    <row r="2">
      <c r="A2" s="13" t="inlineStr">
        <is>
          <t>全 63 字段 · 取数口径：dataasof=MAX(每贷款) · 命中 5/5 贷款（无行的贷款列显示 —） · prod 实测 2026-06-04 · 业务日 2026-06-01</t>
        </is>
      </c>
    </row>
    <row r="3" ht="56" customHeight="1">
      <c r="A3" s="14" t="inlineStr">
        <is>
          <t>查询 SQL（prod 只读）：
-- newrez.portnewrezfc · mysql_prod(只读) · 每贷款 dataasof=MAX(最新快照) · 业务日 2026-06-01
SELECT t.* FROM newrez.portnewrezfc t JOIN (SELECT loanid, MAX(dataasof) AS _md FROM newrez.portnewrezfc WHERE loanid IN ('7727000088','7727000672','7727004200','7727000065','7727000010') GROUP BY loanid) m ON t.loanid=m.loanid AND t.dataasof=m._md;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75" customHeight="1">
      <c r="A5" s="36" t="inlineStr">
        <is>
          <t>业务含义/目的：Newrez 每日推送的法拍(FCL)主源表——一笔贷款一行最新快照，含 FCL 时间线里程碑(setup/referral/firstlegal/judgment/sale)、当前阶段 fcstage、4 个 Hold 槽(fchold1..4)、拍卖金额、律师等。 Newrez 法拍全流程的原始事实底座；下游所有 FCL 计算的源头。</t>
        </is>
      </c>
    </row>
    <row r="6" ht="30" customHeight="1">
      <c r="A6" s="36" t="inlineStr">
        <is>
          <t>何时来查：想看某贷款 Newrez 原始报的 FCL 里程碑/阶段/Hold 原值，或核对下游计算是否忠实于源时。</t>
        </is>
      </c>
    </row>
    <row r="7" ht="30" customHeight="1">
      <c r="A7" s="36" t="inlineStr">
        <is>
          <t>为什么这样处理：各 Servicer 文件格式不同，先按‘一家一张原始表’落地保真，再到 L4 统一改名/UNION，便于回溯与对账。</t>
        </is>
      </c>
    </row>
    <row r="8" ht="30" customHeight="1">
      <c r="A8" s="36" t="inlineStr">
        <is>
          <t>数据粒度：1 行/贷款/dataasof（每日快照）；本 dump 取 dataasof=MAX。</t>
        </is>
      </c>
    </row>
    <row r="9" ht="60" customHeight="1">
      <c r="A9" s="36" t="inlineStr">
        <is>
          <t>上游链路：Servicer 文件(S3, L0) → newrez.portnewrezfc  〔load_daily_newrez_flow.py；落库 daily_task.py:923-942(MySQL)/960-983(Redshift)〕</t>
        </is>
      </c>
    </row>
    <row r="10" ht="18" customHeight="1">
      <c r="A10" s="36" t="inlineStr">
        <is>
          <t>全部上游表：Servicer 文件(S3, L0)</t>
        </is>
      </c>
    </row>
    <row r="11" ht="140" customHeight="1">
      <c r="A11" s="36" t="inlineStr">
        <is>
          <t>下游链路：portnewrezfc → tempfc.temp_basic_data_fcl(改名) → port.basic_data_loan_fcl(全 servicer UNION，FCL 事实表) → { port.basic_data_loan_foreclosure〔GEN_FCL_DETAIL basic_data_pool_config.py:253-305〕 / port.fcl_stage_info〔GEN_FCL_STAGE :1774-2440〕 / port.basic_data_loan_foreclosure_hold〔Hold 拆槽 :466-768〕 } → bpms.sync_*〔asset_managment_config.py〕 → bpms.biz_data_view_loan_details_foreclosure(视图) → BPS 法拍面板</t>
        </is>
      </c>
    </row>
    <row r="12" ht="120" customHeight="1">
      <c r="A12" s="36" t="inlineStr">
        <is>
          <t>全部下游表：tempfc.temp_basic_data_fcl、port.basic_data_loan_fcl、port.basic_data_loan_foreclosure、port.fcl_stage_info、port.basic_data_loan_foreclosure_hold、bpms.sync_loan_foreclosure、bpms.sync_fcl_stage_info、bpms.sync_loan_foreclosure_hold、bpms.biz_data_view_loan_details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5" t="inlineStr">
        <is>
          <t>字段</t>
        </is>
      </c>
      <c r="B14" s="5" t="inlineStr">
        <is>
          <t>7727000088</t>
        </is>
      </c>
      <c r="C14" s="5" t="inlineStr">
        <is>
          <t>7727000672</t>
        </is>
      </c>
      <c r="D14" s="5" t="inlineStr">
        <is>
          <t>7727004200</t>
        </is>
      </c>
      <c r="E14" s="5" t="inlineStr">
        <is>
          <t>7727000065</t>
        </is>
      </c>
      <c r="F14" s="5" t="inlineStr">
        <is>
          <t>7727000010</t>
        </is>
      </c>
    </row>
    <row r="15">
      <c r="A15" s="15" t="inlineStr">
        <is>
          <t>id</t>
        </is>
      </c>
      <c r="B15" s="6" t="inlineStr">
        <is>
          <t>1750674</t>
        </is>
      </c>
      <c r="C15" s="6" t="inlineStr">
        <is>
          <t>1750233</t>
        </is>
      </c>
      <c r="D15" s="6" t="inlineStr">
        <is>
          <t>1751818</t>
        </is>
      </c>
      <c r="E15" s="6" t="inlineStr">
        <is>
          <t>1750695</t>
        </is>
      </c>
      <c r="F15" s="6" t="inlineStr">
        <is>
          <t>1750688</t>
        </is>
      </c>
    </row>
    <row r="16">
      <c r="A16" s="15" t="inlineStr">
        <is>
          <t>loanid</t>
        </is>
      </c>
      <c r="B16" s="16" t="inlineStr">
        <is>
          <t>7727000088</t>
        </is>
      </c>
      <c r="C16" s="16" t="inlineStr">
        <is>
          <t>7727000672</t>
        </is>
      </c>
      <c r="D16" s="16" t="inlineStr">
        <is>
          <t>7727004200</t>
        </is>
      </c>
      <c r="E16" s="16" t="inlineStr">
        <is>
          <t>7727000065</t>
        </is>
      </c>
      <c r="F16" s="16" t="inlineStr">
        <is>
          <t>7727000010</t>
        </is>
      </c>
    </row>
    <row r="17">
      <c r="A17" s="15" t="inlineStr">
        <is>
          <t>dataasof</t>
        </is>
      </c>
      <c r="B17" s="6" t="inlineStr">
        <is>
          <t>2026-06-04</t>
        </is>
      </c>
      <c r="C17" s="6" t="inlineStr">
        <is>
          <t>2026-06-04</t>
        </is>
      </c>
      <c r="D17" s="6" t="inlineStr">
        <is>
          <t>2026-06-04</t>
        </is>
      </c>
      <c r="E17" s="6" t="inlineStr">
        <is>
          <t>2026-06-04</t>
        </is>
      </c>
      <c r="F17" s="6" t="inlineStr">
        <is>
          <t>2026-06-04</t>
        </is>
      </c>
    </row>
    <row r="18">
      <c r="A18" s="15" t="inlineStr">
        <is>
          <t>shellpointloanid</t>
        </is>
      </c>
      <c r="B18" s="16" t="inlineStr">
        <is>
          <t>1031718838</t>
        </is>
      </c>
      <c r="C18" s="16" t="inlineStr">
        <is>
          <t>1032761570</t>
        </is>
      </c>
      <c r="D18" s="16" t="inlineStr">
        <is>
          <t>0688132141</t>
        </is>
      </c>
      <c r="E18" s="16" t="inlineStr">
        <is>
          <t>1031718621</t>
        </is>
      </c>
      <c r="F18" s="16" t="inlineStr">
        <is>
          <t>1031718692</t>
        </is>
      </c>
    </row>
    <row r="19">
      <c r="A19" s="15" t="inlineStr">
        <is>
          <t>fcsetupdate</t>
        </is>
      </c>
      <c r="B19" s="6" t="inlineStr">
        <is>
          <t>2025-05-23</t>
        </is>
      </c>
      <c r="C19" s="6" t="inlineStr">
        <is>
          <t>2026-03-09</t>
        </is>
      </c>
      <c r="D19" s="6" t="inlineStr">
        <is>
          <t>2025-06-27</t>
        </is>
      </c>
      <c r="E19" s="6" t="inlineStr">
        <is>
          <t>2025-02-03</t>
        </is>
      </c>
      <c r="F19" s="6" t="inlineStr">
        <is>
          <t>—</t>
        </is>
      </c>
    </row>
    <row r="20">
      <c r="A20" s="15" t="inlineStr">
        <is>
          <t>fcreferraldate</t>
        </is>
      </c>
      <c r="B20" s="16" t="inlineStr">
        <is>
          <t>2025-05-23</t>
        </is>
      </c>
      <c r="C20" s="16" t="inlineStr">
        <is>
          <t>2026-03-09</t>
        </is>
      </c>
      <c r="D20" s="16" t="inlineStr">
        <is>
          <t>2025-06-27</t>
        </is>
      </c>
      <c r="E20" s="16" t="inlineStr">
        <is>
          <t>2025-02-03</t>
        </is>
      </c>
      <c r="F20" s="16" t="inlineStr">
        <is>
          <t>—</t>
        </is>
      </c>
    </row>
    <row r="21">
      <c r="A21" s="15" t="inlineStr">
        <is>
          <t>smsdaysinfc</t>
        </is>
      </c>
      <c r="B21" s="6" t="inlineStr">
        <is>
          <t>368</t>
        </is>
      </c>
      <c r="C21" s="6" t="inlineStr">
        <is>
          <t>79</t>
        </is>
      </c>
      <c r="D21" s="6" t="inlineStr">
        <is>
          <t>294</t>
        </is>
      </c>
      <c r="E21" s="6" t="inlineStr">
        <is>
          <t>254</t>
        </is>
      </c>
      <c r="F21" s="6" t="inlineStr">
        <is>
          <t>—</t>
        </is>
      </c>
    </row>
    <row r="22">
      <c r="A22" s="15" t="inlineStr">
        <is>
          <t>daysinfc</t>
        </is>
      </c>
      <c r="B22" s="16" t="inlineStr">
        <is>
          <t>368</t>
        </is>
      </c>
      <c r="C22" s="16" t="inlineStr">
        <is>
          <t>79</t>
        </is>
      </c>
      <c r="D22" s="16" t="inlineStr">
        <is>
          <t>294</t>
        </is>
      </c>
      <c r="E22" s="16" t="inlineStr">
        <is>
          <t>254</t>
        </is>
      </c>
      <c r="F22" s="16" t="inlineStr">
        <is>
          <t>—</t>
        </is>
      </c>
    </row>
    <row r="23">
      <c r="A23" s="15" t="inlineStr">
        <is>
          <t>demandsentdate</t>
        </is>
      </c>
      <c r="B23" s="6" t="inlineStr">
        <is>
          <t>2025-02-18</t>
        </is>
      </c>
      <c r="C23" s="6" t="inlineStr">
        <is>
          <t>2025-11-17</t>
        </is>
      </c>
      <c r="D23" s="6" t="inlineStr">
        <is>
          <t>2025-05-20</t>
        </is>
      </c>
      <c r="E23" s="6" t="inlineStr">
        <is>
          <t>2024-08-12</t>
        </is>
      </c>
      <c r="F23" s="6" t="inlineStr">
        <is>
          <t>2026-04-10</t>
        </is>
      </c>
    </row>
    <row r="24">
      <c r="A24" s="15" t="inlineStr">
        <is>
          <t>demandexpirationdate</t>
        </is>
      </c>
      <c r="B24" s="16" t="inlineStr">
        <is>
          <t>2025-03-25</t>
        </is>
      </c>
      <c r="C24" s="16" t="inlineStr">
        <is>
          <t>2025-12-22</t>
        </is>
      </c>
      <c r="D24" s="16" t="inlineStr">
        <is>
          <t>2025-06-24</t>
        </is>
      </c>
      <c r="E24" s="16" t="inlineStr">
        <is>
          <t>2024-09-18</t>
        </is>
      </c>
      <c r="F24" s="16" t="inlineStr">
        <is>
          <t>2026-05-15</t>
        </is>
      </c>
    </row>
    <row r="25">
      <c r="A25" s="15" t="inlineStr">
        <is>
          <t>fcstage</t>
        </is>
      </c>
      <c r="B25" s="6" t="inlineStr">
        <is>
          <t>Post Sale Review (SCRA and PACER Check)</t>
        </is>
      </c>
      <c r="C25" s="6" t="inlineStr">
        <is>
          <t>Pre-Sale Review 1 (SCRA and PACER Check)</t>
        </is>
      </c>
      <c r="D25" s="6" t="inlineStr">
        <is>
          <t>Pre-Sale Review 1 (SCRA and PACER Check)</t>
        </is>
      </c>
      <c r="E25" s="6" t="inlineStr">
        <is>
          <t>Post Sale Review (SCRA and PACER Check)</t>
        </is>
      </c>
      <c r="F25" s="6" t="inlineStr">
        <is>
          <t>—</t>
        </is>
      </c>
    </row>
    <row r="26">
      <c r="A26" s="15" t="inlineStr">
        <is>
          <t>lastfcstepcompleted</t>
        </is>
      </c>
      <c r="B26" s="16" t="inlineStr">
        <is>
          <t>Post Sale Review (SCRA and PACER Check)</t>
        </is>
      </c>
      <c r="C26" s="16" t="inlineStr">
        <is>
          <t>First Publication</t>
        </is>
      </c>
      <c r="D26" s="16" t="inlineStr">
        <is>
          <t>Sale Scheduled For</t>
        </is>
      </c>
      <c r="E26" s="16" t="inlineStr">
        <is>
          <t>Post Sale Review (SCRA and PACER Check)</t>
        </is>
      </c>
      <c r="F26" s="16" t="inlineStr">
        <is>
          <t>—</t>
        </is>
      </c>
    </row>
    <row r="27">
      <c r="A27" s="15" t="inlineStr">
        <is>
          <t>lastfcstepcompleteddate</t>
        </is>
      </c>
      <c r="B27" s="6" t="inlineStr">
        <is>
          <t>2026-05-26</t>
        </is>
      </c>
      <c r="C27" s="6" t="inlineStr">
        <is>
          <t>2026-03-25</t>
        </is>
      </c>
      <c r="D27" s="6" t="inlineStr">
        <is>
          <t>2026-05-19</t>
        </is>
      </c>
      <c r="E27" s="6" t="inlineStr">
        <is>
          <t>2025-10-15</t>
        </is>
      </c>
      <c r="F27" s="6" t="inlineStr">
        <is>
          <t>—</t>
        </is>
      </c>
    </row>
    <row r="28">
      <c r="A28" s="15" t="inlineStr">
        <is>
          <t>fchold1description</t>
        </is>
      </c>
      <c r="B28" s="16" t="inlineStr">
        <is>
          <t>Court Delay</t>
        </is>
      </c>
      <c r="C28" s="16" t="inlineStr">
        <is>
          <t>Delinquency Review</t>
        </is>
      </c>
      <c r="D28" s="16" t="inlineStr">
        <is>
          <t>Delinquency Review</t>
        </is>
      </c>
      <c r="E28" s="16" t="inlineStr">
        <is>
          <t>Court Delay</t>
        </is>
      </c>
      <c r="F28" s="16" t="inlineStr">
        <is>
          <t>—</t>
        </is>
      </c>
    </row>
    <row r="29">
      <c r="A29" s="15" t="inlineStr">
        <is>
          <t>fchold1startdate</t>
        </is>
      </c>
      <c r="B29" s="6" t="inlineStr">
        <is>
          <t>2026-04-09</t>
        </is>
      </c>
      <c r="C29" s="6" t="inlineStr">
        <is>
          <t>2026-05-12</t>
        </is>
      </c>
      <c r="D29" s="6" t="inlineStr">
        <is>
          <t>2026-04-17</t>
        </is>
      </c>
      <c r="E29" s="6" t="inlineStr">
        <is>
          <t>2025-08-26</t>
        </is>
      </c>
      <c r="F29" s="6" t="inlineStr">
        <is>
          <t>—</t>
        </is>
      </c>
    </row>
    <row r="30">
      <c r="A30" s="15" t="inlineStr">
        <is>
          <t>fchold1enddate</t>
        </is>
      </c>
      <c r="B30" s="16" t="inlineStr">
        <is>
          <t>2026-04-26</t>
        </is>
      </c>
      <c r="C30" s="16" t="inlineStr">
        <is>
          <t>2026-05-27</t>
        </is>
      </c>
      <c r="D30" s="16" t="inlineStr">
        <is>
          <t>2026-04-17</t>
        </is>
      </c>
      <c r="E30" s="16" t="inlineStr">
        <is>
          <t>2025-08-28</t>
        </is>
      </c>
      <c r="F30" s="16" t="inlineStr">
        <is>
          <t>—</t>
        </is>
      </c>
    </row>
    <row r="31">
      <c r="A31" s="15" t="inlineStr">
        <is>
          <t>fchold2description</t>
        </is>
      </c>
      <c r="B31" s="6" t="inlineStr">
        <is>
          <t>Hearing Set</t>
        </is>
      </c>
      <c r="C31" s="6" t="inlineStr">
        <is>
          <t>Loss Mitigation Workout</t>
        </is>
      </c>
      <c r="D31" s="6" t="inlineStr">
        <is>
          <t>Hearing Set</t>
        </is>
      </c>
      <c r="E31" s="6" t="inlineStr">
        <is>
          <t>Court Delay</t>
        </is>
      </c>
      <c r="F31" s="6" t="inlineStr">
        <is>
          <t>—</t>
        </is>
      </c>
    </row>
    <row r="32">
      <c r="A32" s="15" t="inlineStr">
        <is>
          <t>fchold2startdate</t>
        </is>
      </c>
      <c r="B32" s="16" t="inlineStr">
        <is>
          <t>2026-03-16</t>
        </is>
      </c>
      <c r="C32" s="16" t="inlineStr">
        <is>
          <t>2026-03-25</t>
        </is>
      </c>
      <c r="D32" s="16" t="inlineStr">
        <is>
          <t>2026-01-29</t>
        </is>
      </c>
      <c r="E32" s="16" t="inlineStr">
        <is>
          <t>2025-07-02</t>
        </is>
      </c>
      <c r="F32" s="16" t="inlineStr">
        <is>
          <t>—</t>
        </is>
      </c>
    </row>
    <row r="33">
      <c r="A33" s="15" t="inlineStr">
        <is>
          <t>fchold2enddate</t>
        </is>
      </c>
      <c r="B33" s="6" t="inlineStr">
        <is>
          <t>2026-04-07</t>
        </is>
      </c>
      <c r="C33" s="6" t="inlineStr">
        <is>
          <t>2026-05-27</t>
        </is>
      </c>
      <c r="D33" s="6" t="inlineStr">
        <is>
          <t>2026-02-13</t>
        </is>
      </c>
      <c r="E33" s="6" t="inlineStr">
        <is>
          <t>2025-07-14</t>
        </is>
      </c>
      <c r="F33" s="6" t="inlineStr">
        <is>
          <t>—</t>
        </is>
      </c>
    </row>
    <row r="34">
      <c r="A34" s="15" t="inlineStr">
        <is>
          <t>fcjudgmenthearingscheduled</t>
        </is>
      </c>
      <c r="B34" s="16" t="inlineStr">
        <is>
          <t>2026-03-27</t>
        </is>
      </c>
      <c r="C34" s="16" t="inlineStr">
        <is>
          <t>—</t>
        </is>
      </c>
      <c r="D34" s="16" t="inlineStr">
        <is>
          <t>2026-04-13</t>
        </is>
      </c>
      <c r="E34" s="16" t="inlineStr">
        <is>
          <t>2025-10-15</t>
        </is>
      </c>
      <c r="F34" s="16" t="inlineStr">
        <is>
          <t>—</t>
        </is>
      </c>
    </row>
    <row r="35">
      <c r="A35" s="15" t="inlineStr">
        <is>
          <t>fcjudgmententered</t>
        </is>
      </c>
      <c r="B35" s="6" t="inlineStr">
        <is>
          <t>2026-04-08</t>
        </is>
      </c>
      <c r="C35" s="6" t="inlineStr">
        <is>
          <t>—</t>
        </is>
      </c>
      <c r="D35" s="6" t="inlineStr">
        <is>
          <t>2026-02-13</t>
        </is>
      </c>
      <c r="E35" s="6" t="inlineStr">
        <is>
          <t>2025-08-25</t>
        </is>
      </c>
      <c r="F35" s="6" t="inlineStr">
        <is>
          <t>—</t>
        </is>
      </c>
    </row>
    <row r="36">
      <c r="A36" s="15" t="inlineStr">
        <is>
          <t>fcscheduledsaledate</t>
        </is>
      </c>
      <c r="B36" s="16" t="inlineStr">
        <is>
          <t>—</t>
        </is>
      </c>
      <c r="C36" s="16" t="inlineStr">
        <is>
          <t>—</t>
        </is>
      </c>
      <c r="D36" s="16" t="inlineStr">
        <is>
          <t>2026-05-19</t>
        </is>
      </c>
      <c r="E36" s="16" t="inlineStr">
        <is>
          <t>—</t>
        </is>
      </c>
      <c r="F36" s="16" t="inlineStr">
        <is>
          <t>—</t>
        </is>
      </c>
    </row>
    <row r="37">
      <c r="A37" s="15" t="inlineStr">
        <is>
          <t>fcsalehelddate</t>
        </is>
      </c>
      <c r="B37" s="6" t="inlineStr">
        <is>
          <t>2026-05-22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2025-10-14</t>
        </is>
      </c>
      <c r="F37" s="6" t="inlineStr">
        <is>
          <t>—</t>
        </is>
      </c>
    </row>
    <row r="38">
      <c r="A38" s="15" t="inlineStr">
        <is>
          <t>fcsaleamount</t>
        </is>
      </c>
      <c r="B38" s="16" t="inlineStr">
        <is>
          <t>200100</t>
        </is>
      </c>
      <c r="C38" s="16" t="inlineStr">
        <is>
          <t>—</t>
        </is>
      </c>
      <c r="D38" s="16" t="inlineStr">
        <is>
          <t>—</t>
        </is>
      </c>
      <c r="E38" s="16" t="inlineStr">
        <is>
          <t>357200</t>
        </is>
      </c>
      <c r="F38" s="16" t="inlineStr">
        <is>
          <t>—</t>
        </is>
      </c>
    </row>
    <row r="39">
      <c r="A39" s="15" t="inlineStr">
        <is>
          <t>fcresults</t>
        </is>
      </c>
      <c r="B39" s="6" t="inlineStr">
        <is>
          <t>REO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REO</t>
        </is>
      </c>
      <c r="F39" s="6" t="inlineStr">
        <is>
          <t>—</t>
        </is>
      </c>
    </row>
    <row r="40">
      <c r="A40" s="15" t="inlineStr">
        <is>
          <t>firstlegaldate</t>
        </is>
      </c>
      <c r="B40" s="16" t="inlineStr">
        <is>
          <t>2025-06-13</t>
        </is>
      </c>
      <c r="C40" s="16" t="inlineStr">
        <is>
          <t>2026-03-25</t>
        </is>
      </c>
      <c r="D40" s="16" t="inlineStr">
        <is>
          <t>2025-07-21</t>
        </is>
      </c>
      <c r="E40" s="16" t="inlineStr">
        <is>
          <t>2025-03-27</t>
        </is>
      </c>
      <c r="F40" s="16" t="inlineStr">
        <is>
          <t>—</t>
        </is>
      </c>
    </row>
    <row r="41">
      <c r="A41" s="15" t="inlineStr">
        <is>
          <t>servicecompletedate</t>
        </is>
      </c>
      <c r="B41" s="6" t="inlineStr">
        <is>
          <t>2025-07-18</t>
        </is>
      </c>
      <c r="C41" s="6" t="inlineStr">
        <is>
          <t>—</t>
        </is>
      </c>
      <c r="D41" s="6" t="inlineStr">
        <is>
          <t>2025-12-24</t>
        </is>
      </c>
      <c r="E41" s="6" t="inlineStr">
        <is>
          <t>2025-05-03</t>
        </is>
      </c>
      <c r="F41" s="6" t="inlineStr">
        <is>
          <t>—</t>
        </is>
      </c>
    </row>
    <row r="42">
      <c r="A42" s="15" t="inlineStr">
        <is>
          <t>titleordereddate</t>
        </is>
      </c>
      <c r="B42" s="16" t="inlineStr">
        <is>
          <t>—</t>
        </is>
      </c>
      <c r="C42" s="16" t="inlineStr">
        <is>
          <t>—</t>
        </is>
      </c>
      <c r="D42" s="16" t="inlineStr">
        <is>
          <t>—</t>
        </is>
      </c>
      <c r="E42" s="16" t="inlineStr">
        <is>
          <t>2025-11-13</t>
        </is>
      </c>
      <c r="F42" s="16" t="inlineStr">
        <is>
          <t>—</t>
        </is>
      </c>
    </row>
    <row r="43">
      <c r="A43" s="15" t="inlineStr">
        <is>
          <t>titlecleardate</t>
        </is>
      </c>
      <c r="B43" s="6" t="inlineStr">
        <is>
          <t>—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</row>
    <row r="44">
      <c r="A44" s="15" t="inlineStr">
        <is>
          <t>titlereceiveddate</t>
        </is>
      </c>
      <c r="B44" s="16" t="inlineStr">
        <is>
          <t>—</t>
        </is>
      </c>
      <c r="C44" s="16" t="inlineStr">
        <is>
          <t>—</t>
        </is>
      </c>
      <c r="D44" s="16" t="inlineStr">
        <is>
          <t>—</t>
        </is>
      </c>
      <c r="E44" s="16" t="inlineStr">
        <is>
          <t>2025-12-02</t>
        </is>
      </c>
      <c r="F44" s="16" t="inlineStr">
        <is>
          <t>—</t>
        </is>
      </c>
    </row>
    <row r="45">
      <c r="A45" s="15" t="inlineStr">
        <is>
          <t>fcremovaldesc</t>
        </is>
      </c>
      <c r="B45" s="6" t="inlineStr">
        <is>
          <t>Process Complete</t>
        </is>
      </c>
      <c r="C45" s="6" t="inlineStr">
        <is>
          <t>Loss Mitigation</t>
        </is>
      </c>
      <c r="D45" s="6" t="inlineStr">
        <is>
          <t>Paid in Full</t>
        </is>
      </c>
      <c r="E45" s="6" t="inlineStr">
        <is>
          <t>Process Complete</t>
        </is>
      </c>
      <c r="F45" s="6" t="inlineStr">
        <is>
          <t>—</t>
        </is>
      </c>
    </row>
    <row r="46">
      <c r="A46" s="15" t="inlineStr">
        <is>
          <t>fcremovaldate</t>
        </is>
      </c>
      <c r="B46" s="16" t="inlineStr">
        <is>
          <t>2026-05-26</t>
        </is>
      </c>
      <c r="C46" s="16" t="inlineStr">
        <is>
          <t>2026-05-27</t>
        </is>
      </c>
      <c r="D46" s="16" t="inlineStr">
        <is>
          <t>2026-04-17</t>
        </is>
      </c>
      <c r="E46" s="16" t="inlineStr">
        <is>
          <t>2025-10-15</t>
        </is>
      </c>
      <c r="F46" s="16" t="inlineStr">
        <is>
          <t>—</t>
        </is>
      </c>
    </row>
    <row r="47">
      <c r="A47" s="15" t="inlineStr">
        <is>
          <t>fccontestedflag</t>
        </is>
      </c>
      <c r="B47" s="6" t="inlineStr">
        <is>
          <t>0</t>
        </is>
      </c>
      <c r="C47" s="6" t="inlineStr">
        <is>
          <t>0</t>
        </is>
      </c>
      <c r="D47" s="6" t="inlineStr">
        <is>
          <t>0</t>
        </is>
      </c>
      <c r="E47" s="6" t="inlineStr">
        <is>
          <t>0</t>
        </is>
      </c>
      <c r="F47" s="6" t="inlineStr">
        <is>
          <t>0</t>
        </is>
      </c>
    </row>
    <row r="48">
      <c r="A48" s="15" t="inlineStr">
        <is>
          <t>judicial</t>
        </is>
      </c>
      <c r="B48" s="16" t="inlineStr">
        <is>
          <t>1</t>
        </is>
      </c>
      <c r="C48" s="16" t="inlineStr">
        <is>
          <t>0</t>
        </is>
      </c>
      <c r="D48" s="16" t="inlineStr">
        <is>
          <t>1</t>
        </is>
      </c>
      <c r="E48" s="16" t="inlineStr">
        <is>
          <t>1</t>
        </is>
      </c>
      <c r="F48" s="16" t="inlineStr">
        <is>
          <t>—</t>
        </is>
      </c>
    </row>
    <row r="49">
      <c r="A49" s="15" t="inlineStr">
        <is>
          <t>fcfirm</t>
        </is>
      </c>
      <c r="B49" s="6" t="inlineStr">
        <is>
          <t>Kelley Kronenberg, P.A.</t>
        </is>
      </c>
      <c r="C49" s="6" t="inlineStr">
        <is>
          <t>Orlans Law Group PLLC</t>
        </is>
      </c>
      <c r="D49" s="6" t="inlineStr">
        <is>
          <t>Johnson, Blumberg &amp; Associates, LLC</t>
        </is>
      </c>
      <c r="E49" s="6" t="inlineStr">
        <is>
          <t>RAS (Primary)</t>
        </is>
      </c>
      <c r="F49" s="6" t="inlineStr">
        <is>
          <t>—</t>
        </is>
      </c>
    </row>
    <row r="50">
      <c r="A50" s="15" t="inlineStr">
        <is>
          <t>jr_sr_lien_flag</t>
        </is>
      </c>
      <c r="B50" s="16" t="inlineStr">
        <is>
          <t>1</t>
        </is>
      </c>
      <c r="C50" s="16" t="inlineStr">
        <is>
          <t>1</t>
        </is>
      </c>
      <c r="D50" s="16" t="inlineStr">
        <is>
          <t>1</t>
        </is>
      </c>
      <c r="E50" s="16" t="inlineStr">
        <is>
          <t>1</t>
        </is>
      </c>
      <c r="F50" s="16" t="inlineStr">
        <is>
          <t>—</t>
        </is>
      </c>
    </row>
    <row r="51">
      <c r="A51" s="15" t="inlineStr">
        <is>
          <t>fcbidamount</t>
        </is>
      </c>
      <c r="B51" s="6" t="inlineStr">
        <is>
          <t>301500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390832.5</t>
        </is>
      </c>
      <c r="F51" s="6" t="inlineStr">
        <is>
          <t>—</t>
        </is>
      </c>
    </row>
    <row r="52">
      <c r="A52" s="15" t="inlineStr">
        <is>
          <t>activefcflag</t>
        </is>
      </c>
      <c r="B52" s="16" t="inlineStr">
        <is>
          <t>0</t>
        </is>
      </c>
      <c r="C52" s="16" t="inlineStr">
        <is>
          <t>0</t>
        </is>
      </c>
      <c r="D52" s="16" t="inlineStr">
        <is>
          <t>0</t>
        </is>
      </c>
      <c r="E52" s="16" t="inlineStr">
        <is>
          <t>0</t>
        </is>
      </c>
      <c r="F52" s="16" t="inlineStr">
        <is>
          <t>0</t>
        </is>
      </c>
    </row>
    <row r="53">
      <c r="A53" s="15" t="inlineStr">
        <is>
          <t>fchold1projectedenddate</t>
        </is>
      </c>
      <c r="B53" s="6" t="inlineStr">
        <is>
          <t>2026-04-29</t>
        </is>
      </c>
      <c r="C53" s="6" t="inlineStr">
        <is>
          <t>2026-07-11</t>
        </is>
      </c>
      <c r="D53" s="6" t="inlineStr">
        <is>
          <t>2026-06-16</t>
        </is>
      </c>
      <c r="E53" s="6" t="inlineStr">
        <is>
          <t>2025-09-15</t>
        </is>
      </c>
      <c r="F53" s="6" t="inlineStr">
        <is>
          <t>—</t>
        </is>
      </c>
    </row>
    <row r="54">
      <c r="A54" s="15" t="inlineStr">
        <is>
          <t>fchold1comment</t>
        </is>
      </c>
      <c r="B54" s="16" t="inlineStr">
        <is>
          <t>Delay Reason: Pending Ruling on Judgment, Hold Start Date: 2026-04-09, Date of Delay: 2026-04-06, Anticipated Resolution ETA: 2026-04-29, Additional Detail On Delay: We are pending judge's execution of the  proposed Order</t>
        </is>
      </c>
      <c r="C54" s="16" t="inlineStr">
        <is>
          <t>Delinquency Review</t>
        </is>
      </c>
      <c r="D54" s="16" t="inlineStr">
        <is>
          <t>Delinquency Review</t>
        </is>
      </c>
      <c r="E54" s="16" t="inlineStr">
        <is>
          <t xml:space="preserve">Delay Reason: Pending Judges Decision/Ruling, Hold Start Date: 2025-08-26, Date of Delay: 2025-08-13, Anticipated Resolution ETA: 2025-09-15, Additional Detail On Delay: The Final Judgment was granted at NJT held 8/25/2025. At this time firm is pending the executed final Judgment with sale date scheduled to be docketed with the court a requirement to complete the Judgment entered. </t>
        </is>
      </c>
      <c r="F54" s="16" t="inlineStr">
        <is>
          <t>—</t>
        </is>
      </c>
    </row>
    <row r="55">
      <c r="A55" s="15" t="inlineStr">
        <is>
          <t>fchold2projectedenddate</t>
        </is>
      </c>
      <c r="B55" s="6" t="inlineStr">
        <is>
          <t>2026-04-06</t>
        </is>
      </c>
      <c r="C55" s="6" t="inlineStr">
        <is>
          <t>2026-06-01</t>
        </is>
      </c>
      <c r="D55" s="6" t="inlineStr">
        <is>
          <t>2026-02-13</t>
        </is>
      </c>
      <c r="E55" s="6" t="inlineStr">
        <is>
          <t>2025-07-22</t>
        </is>
      </c>
      <c r="F55" s="6" t="inlineStr">
        <is>
          <t>—</t>
        </is>
      </c>
    </row>
    <row r="56">
      <c r="A56" s="15" t="inlineStr">
        <is>
          <t>fchold2comment</t>
        </is>
      </c>
      <c r="B56" s="16" t="inlineStr">
        <is>
          <t>Hearing scheduled for 04/06/2026, Additional Detail: Plaintiff's Motion for Summary Judgment scheduled for 4.6.26. Please end court delay hold. Thanks</t>
        </is>
      </c>
      <c r="C56" s="16" t="inlineStr">
        <is>
          <t>BRP Complete:  Complete Ack Sent:  RPP Approved: 03/24/2026 RPP Payments Due: 6 Last RPP Payment Made: 05/12/2026 Next Payment Due: 06/01/2026</t>
        </is>
      </c>
      <c r="D56" s="16" t="inlineStr">
        <is>
          <t>RID: 861849328; Judgment hearing scheduled for 2/13/26</t>
        </is>
      </c>
      <c r="E56" s="16" t="inlineStr">
        <is>
          <t xml:space="preserve">Delay Reason: Pending Judges Decision/Ruling, Hold Start Date: 2025-07-02, Date of Delay: 2025-07-01, Anticipated Resolution ETA: 2025-07-22, Additional Detail On Delay: Pending court's ruling on the Plaintiff's motion for clerk's default. </t>
        </is>
      </c>
      <c r="F56" s="16" t="inlineStr">
        <is>
          <t>—</t>
        </is>
      </c>
    </row>
    <row r="57">
      <c r="A57" s="15" t="inlineStr">
        <is>
          <t>holdmodified</t>
        </is>
      </c>
      <c r="B57" s="6" t="inlineStr">
        <is>
          <t>2026-04-27</t>
        </is>
      </c>
      <c r="C57" s="6" t="inlineStr">
        <is>
          <t>2026-05-27</t>
        </is>
      </c>
      <c r="D57" s="6" t="inlineStr">
        <is>
          <t>2026-04-17</t>
        </is>
      </c>
      <c r="E57" s="6" t="inlineStr">
        <is>
          <t>2025-08-29</t>
        </is>
      </c>
      <c r="F57" s="6" t="inlineStr">
        <is>
          <t>—</t>
        </is>
      </c>
    </row>
    <row r="58">
      <c r="A58" s="15" t="inlineStr">
        <is>
          <t>holdmodified2</t>
        </is>
      </c>
      <c r="B58" s="16" t="inlineStr">
        <is>
          <t>2026-04-07</t>
        </is>
      </c>
      <c r="C58" s="16" t="inlineStr">
        <is>
          <t>2026-05-27</t>
        </is>
      </c>
      <c r="D58" s="16" t="inlineStr">
        <is>
          <t>2026-02-13</t>
        </is>
      </c>
      <c r="E58" s="16" t="inlineStr">
        <is>
          <t>2025-07-15</t>
        </is>
      </c>
      <c r="F58" s="16" t="inlineStr">
        <is>
          <t>—</t>
        </is>
      </c>
    </row>
    <row r="59">
      <c r="A59" s="15" t="inlineStr">
        <is>
          <t>create_time</t>
        </is>
      </c>
      <c r="B59" s="6" t="inlineStr">
        <is>
          <t>2026-06-05 19:37:56</t>
        </is>
      </c>
      <c r="C59" s="6" t="inlineStr">
        <is>
          <t>2026-06-05 19:37:56</t>
        </is>
      </c>
      <c r="D59" s="6" t="inlineStr">
        <is>
          <t>2026-06-05 19:37:56</t>
        </is>
      </c>
      <c r="E59" s="6" t="inlineStr">
        <is>
          <t>2026-06-05 19:37:56</t>
        </is>
      </c>
      <c r="F59" s="6" t="inlineStr">
        <is>
          <t>2026-06-05 19:37:56</t>
        </is>
      </c>
    </row>
    <row r="60">
      <c r="A60" s="15" t="inlineStr">
        <is>
          <t>update_time</t>
        </is>
      </c>
      <c r="B60" s="16" t="inlineStr">
        <is>
          <t>2026-06-05 19:37:56</t>
        </is>
      </c>
      <c r="C60" s="16" t="inlineStr">
        <is>
          <t>2026-06-05 19:37:56</t>
        </is>
      </c>
      <c r="D60" s="16" t="inlineStr">
        <is>
          <t>2026-06-05 19:37:56</t>
        </is>
      </c>
      <c r="E60" s="16" t="inlineStr">
        <is>
          <t>2026-06-05 19:37:56</t>
        </is>
      </c>
      <c r="F60" s="16" t="inlineStr">
        <is>
          <t>2026-06-05 19:37:56</t>
        </is>
      </c>
    </row>
    <row r="61">
      <c r="A61" s="15" t="inlineStr">
        <is>
          <t>dtdeedrecorded</t>
        </is>
      </c>
      <c r="B61" s="6" t="inlineStr">
        <is>
          <t>—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2025-10-28</t>
        </is>
      </c>
      <c r="F61" s="6" t="inlineStr">
        <is>
          <t>—</t>
        </is>
      </c>
    </row>
    <row r="62">
      <c r="A62" s="15" t="inlineStr">
        <is>
          <t>fcapprbidprice</t>
        </is>
      </c>
      <c r="B62" s="16" t="inlineStr">
        <is>
          <t>301500</t>
        </is>
      </c>
      <c r="C62" s="16" t="inlineStr">
        <is>
          <t>—</t>
        </is>
      </c>
      <c r="D62" s="16" t="inlineStr">
        <is>
          <t>—</t>
        </is>
      </c>
      <c r="E62" s="16" t="inlineStr">
        <is>
          <t>390832.5</t>
        </is>
      </c>
      <c r="F62" s="16" t="inlineStr">
        <is>
          <t>—</t>
        </is>
      </c>
    </row>
    <row r="63">
      <c r="A63" s="15" t="inlineStr">
        <is>
          <t>fcl3rdpartyproceedsreceiveddate</t>
        </is>
      </c>
      <c r="B63" s="6" t="inlineStr">
        <is>
          <t>—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</row>
    <row r="64">
      <c r="A64" s="15" t="inlineStr">
        <is>
          <t>investorloanid</t>
        </is>
      </c>
      <c r="B64" s="16" t="inlineStr">
        <is>
          <t>7727000088</t>
        </is>
      </c>
      <c r="C64" s="16" t="inlineStr">
        <is>
          <t>7727000672</t>
        </is>
      </c>
      <c r="D64" s="16" t="inlineStr">
        <is>
          <t>7727004200</t>
        </is>
      </c>
      <c r="E64" s="16" t="inlineStr">
        <is>
          <t>7727000065</t>
        </is>
      </c>
      <c r="F64" s="16" t="inlineStr">
        <is>
          <t>7727000010</t>
        </is>
      </c>
    </row>
    <row r="65">
      <c r="A65" s="15" t="inlineStr">
        <is>
          <t>fchold3description</t>
        </is>
      </c>
      <c r="B65" s="6" t="inlineStr">
        <is>
          <t>Court Delay</t>
        </is>
      </c>
      <c r="C65" s="6" t="inlineStr">
        <is>
          <t>—</t>
        </is>
      </c>
      <c r="D65" s="6" t="inlineStr">
        <is>
          <t>Service Delay</t>
        </is>
      </c>
      <c r="E65" s="6" t="inlineStr">
        <is>
          <t>Bankruptcy Filed</t>
        </is>
      </c>
      <c r="F65" s="6" t="inlineStr">
        <is>
          <t>—</t>
        </is>
      </c>
    </row>
    <row r="66">
      <c r="A66" s="15" t="inlineStr">
        <is>
          <t>fchold3startdate</t>
        </is>
      </c>
      <c r="B66" s="16" t="inlineStr">
        <is>
          <t>2026-01-16</t>
        </is>
      </c>
      <c r="C66" s="16" t="inlineStr">
        <is>
          <t>—</t>
        </is>
      </c>
      <c r="D66" s="16" t="inlineStr">
        <is>
          <t>2025-12-30</t>
        </is>
      </c>
      <c r="E66" s="16" t="inlineStr">
        <is>
          <t>2025-05-06</t>
        </is>
      </c>
      <c r="F66" s="16" t="inlineStr">
        <is>
          <t>—</t>
        </is>
      </c>
    </row>
    <row r="67">
      <c r="A67" s="15" t="inlineStr">
        <is>
          <t>fchold3enddate</t>
        </is>
      </c>
      <c r="B67" s="6" t="inlineStr">
        <is>
          <t>2026-03-16</t>
        </is>
      </c>
      <c r="C67" s="6" t="inlineStr">
        <is>
          <t>—</t>
        </is>
      </c>
      <c r="D67" s="6" t="inlineStr">
        <is>
          <t>2026-01-23</t>
        </is>
      </c>
      <c r="E67" s="6" t="inlineStr">
        <is>
          <t>2025-06-27</t>
        </is>
      </c>
      <c r="F67" s="6" t="inlineStr">
        <is>
          <t>—</t>
        </is>
      </c>
    </row>
    <row r="68">
      <c r="A68" s="15" t="inlineStr">
        <is>
          <t>fchold3projectedenddate</t>
        </is>
      </c>
      <c r="B68" s="16" t="inlineStr">
        <is>
          <t>2026-03-17</t>
        </is>
      </c>
      <c r="C68" s="16" t="inlineStr">
        <is>
          <t>—</t>
        </is>
      </c>
      <c r="D68" s="16" t="inlineStr">
        <is>
          <t>2026-01-23</t>
        </is>
      </c>
      <c r="E68" s="16" t="inlineStr">
        <is>
          <t>2025-07-07</t>
        </is>
      </c>
      <c r="F68" s="16" t="inlineStr">
        <is>
          <t>—</t>
        </is>
      </c>
    </row>
    <row r="69">
      <c r="A69" s="15" t="inlineStr">
        <is>
          <t>fchold3comment</t>
        </is>
      </c>
      <c r="B69" s="6" t="inlineStr">
        <is>
          <t>Delay Reason: Pending Hearing Date for Judgment, Hold Start Date: 2026-01-16, Date of Delay: 2026-01-19, Anticipated Resolution ETA: 2026-03-17, Additional Detail On Delay: We have reached out to the JA for dates in April and is pending a response. The JA had advised there were only limited dates. Pending response to proceed., Actions Taken by the Firm: Called the court, Most Recent Follow-Up Date: 02/20/2026, Additional Info:  We have reached out to the JA for dates in April and is pending a response. The JA had advised there were only limited dates. Pending response to proceed.</t>
        </is>
      </c>
      <c r="C69" s="6" t="inlineStr">
        <is>
          <t>—</t>
        </is>
      </c>
      <c r="D69" s="6" t="inlineStr">
        <is>
          <t xml:space="preserve">Due to title identifying the incorrect HOA, the new correct HOA had to be served.  The HOA was served 12/24/25 and the time period for the correct HOA to file their Answer does not expire until 1-23-2026.  See Step 9.  We cannot proceed to judgment until after 1-23-2026.  </t>
        </is>
      </c>
      <c r="E69" s="6" t="inlineStr">
        <is>
          <t>CaseNumber: 2500228 Chapter: 7 Filed Date: 04/30/2025 POC Bar Date:  Post-Petition Due Date:  MFR Referral Date: 05/15/2025 MFR Filed Date: 06/10/2025 MFR Granted Date:  Dismissal Date:</t>
        </is>
      </c>
      <c r="F69" s="6" t="inlineStr">
        <is>
          <t>—</t>
        </is>
      </c>
    </row>
    <row r="70">
      <c r="A70" s="15" t="inlineStr">
        <is>
          <t>holdmodified3</t>
        </is>
      </c>
      <c r="B70" s="16" t="inlineStr">
        <is>
          <t>2026-03-17</t>
        </is>
      </c>
      <c r="C70" s="16" t="inlineStr">
        <is>
          <t>—</t>
        </is>
      </c>
      <c r="D70" s="16" t="inlineStr">
        <is>
          <t>2026-01-23</t>
        </is>
      </c>
      <c r="E70" s="16" t="inlineStr">
        <is>
          <t>2025-06-27</t>
        </is>
      </c>
      <c r="F70" s="16" t="inlineStr">
        <is>
          <t>—</t>
        </is>
      </c>
    </row>
    <row r="71">
      <c r="A71" s="15" t="inlineStr">
        <is>
          <t>activejnrlienfcflag</t>
        </is>
      </c>
      <c r="B71" s="6" t="inlineStr">
        <is>
          <t>0</t>
        </is>
      </c>
      <c r="C71" s="6" t="inlineStr">
        <is>
          <t>0</t>
        </is>
      </c>
      <c r="D71" s="6" t="inlineStr">
        <is>
          <t>0</t>
        </is>
      </c>
      <c r="E71" s="6" t="inlineStr">
        <is>
          <t>0</t>
        </is>
      </c>
      <c r="F71" s="6" t="inlineStr">
        <is>
          <t>0</t>
        </is>
      </c>
    </row>
    <row r="72">
      <c r="A72" s="15" t="inlineStr">
        <is>
          <t>currentmilestone</t>
        </is>
      </c>
      <c r="B72" s="16" t="inlineStr">
        <is>
          <t>Sold</t>
        </is>
      </c>
      <c r="C72" s="16" t="inlineStr">
        <is>
          <t>Closed</t>
        </is>
      </c>
      <c r="D72" s="16" t="inlineStr">
        <is>
          <t>Closed</t>
        </is>
      </c>
      <c r="E72" s="16" t="inlineStr">
        <is>
          <t>Sold</t>
        </is>
      </c>
      <c r="F72" s="16" t="inlineStr">
        <is>
          <t>—</t>
        </is>
      </c>
    </row>
    <row r="73">
      <c r="A73" s="15" t="inlineStr">
        <is>
          <t>srlienmonitorflag</t>
        </is>
      </c>
      <c r="B73" s="6" t="inlineStr">
        <is>
          <t>—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</row>
    <row r="74">
      <c r="A74" s="15" t="inlineStr">
        <is>
          <t>srliensalescheduleddate</t>
        </is>
      </c>
      <c r="B74" s="16" t="inlineStr">
        <is>
          <t>—</t>
        </is>
      </c>
      <c r="C74" s="16" t="inlineStr">
        <is>
          <t>—</t>
        </is>
      </c>
      <c r="D74" s="16" t="inlineStr">
        <is>
          <t>—</t>
        </is>
      </c>
      <c r="E74" s="16" t="inlineStr">
        <is>
          <t>—</t>
        </is>
      </c>
      <c r="F74" s="16" t="inlineStr">
        <is>
          <t>—</t>
        </is>
      </c>
    </row>
    <row r="75">
      <c r="A75" s="15" t="inlineStr">
        <is>
          <t>srliensalehelddate</t>
        </is>
      </c>
      <c r="B75" s="6" t="inlineStr">
        <is>
          <t>—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</row>
    <row r="76">
      <c r="A76" s="15" t="inlineStr">
        <is>
          <t>srliensaleresult</t>
        </is>
      </c>
      <c r="B76" s="16" t="inlineStr">
        <is>
          <t>—</t>
        </is>
      </c>
      <c r="C76" s="16" t="inlineStr">
        <is>
          <t>—</t>
        </is>
      </c>
      <c r="D76" s="16" t="inlineStr">
        <is>
          <t>—</t>
        </is>
      </c>
      <c r="E76" s="16" t="inlineStr">
        <is>
          <t>—</t>
        </is>
      </c>
      <c r="F76" s="16" t="inlineStr">
        <is>
          <t>—</t>
        </is>
      </c>
    </row>
    <row r="77">
      <c r="A77" s="15" t="inlineStr">
        <is>
          <t>srliensaledate</t>
        </is>
      </c>
      <c r="B77" s="6" t="inlineStr">
        <is>
          <t>—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</row>
  </sheetData>
  <mergeCells count="13">
    <mergeCell ref="A2:F2"/>
    <mergeCell ref="A11:F11"/>
    <mergeCell ref="A10:F10"/>
    <mergeCell ref="A13:F13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4" t="inlineStr">
        <is>
          <t>newrez.portnewrezbk — 破产源表</t>
        </is>
      </c>
    </row>
    <row r="2">
      <c r="A2" s="13" t="inlineStr">
        <is>
          <t>全 60 字段 · 取数口径：dataasof=MAX(每贷款) · 命中 5/5 贷款（无行的贷款列显示 —） · prod 实测 2026-06-04 · 业务日 2026-06-01</t>
        </is>
      </c>
    </row>
    <row r="3" ht="56" customHeight="1">
      <c r="A3" s="14" t="inlineStr">
        <is>
          <t>查询 SQL（prod 只读）：
-- newrez.portnewrezbk · mysql_prod(只读) · 每贷款 dataasof=MAX(最新快照) · 业务日 2026-06-01
SELECT t.* FROM newrez.portnewrezbk t JOIN (SELECT loanid, MAX(dataasof) AS _md FROM newrez.portnewrezbk WHERE loanid IN ('7727000088','7727000672','7727004200','7727000065','7727000010') GROUP BY loanid) m ON t.loanid=m.loanid AND t.dataasof=m._md;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45" customHeight="1">
      <c r="A5" s="36" t="inlineStr">
        <is>
          <t>业务含义/目的：Newrez 破产(BK)源表，按贷款×破产申请记录，含 bkstatus/bkchapter/bkfileddate 等编码字段。 BK 事实底座；为 FCL 提供‘是否在破产保护(暂停法拍)’的判断。</t>
        </is>
      </c>
    </row>
    <row r="6" ht="18" customHeight="1">
      <c r="A6" s="36" t="inlineStr">
        <is>
          <t>何时来查：查某贷款原始破产章节/状态/申请日，或核对 BPS 破产面板。</t>
        </is>
      </c>
    </row>
    <row r="7" ht="30" customHeight="1">
      <c r="A7" s="36" t="inlineStr">
        <is>
          <t>为什么这样处理：破产是法拍的暂停因素，需单列保真；编码值经 datadic 解码成业务文案。</t>
        </is>
      </c>
    </row>
    <row r="8" ht="18" customHeight="1">
      <c r="A8" s="36" t="inlineStr">
        <is>
          <t>数据粒度：1 行/贷款/破产申请(bkfileddate)；多次申请多行。</t>
        </is>
      </c>
    </row>
    <row r="9" ht="30" customHeight="1">
      <c r="A9" s="36" t="inlineStr">
        <is>
          <t>上游链路：Servicer 文件(S3, L0) → newrez.portnewrezbk</t>
        </is>
      </c>
    </row>
    <row r="10" ht="18" customHeight="1">
      <c r="A10" s="36" t="inlineStr">
        <is>
          <t>全部上游表：Servicer 文件(S3, L0)</t>
        </is>
      </c>
    </row>
    <row r="11" ht="120" customHeight="1">
      <c r="A11" s="36" t="inlineStr">
        <is>
          <t>下游链路：portnewrezbk → port.basic_data_loan_foreclosure_bankruptcy〔解码 bkstatus，basic_data_pool_config.py:331-370，JOIN newrez.portnewrezdatadic〕 → bpms.sync_loan_foreclosure_bankruptcy〔asset_managment_config.py:822-843〕 → bpms.biz_data_view_loan_details_foreclosure(视图) → BPS 破产面板</t>
        </is>
      </c>
    </row>
    <row r="12" ht="60" customHeight="1">
      <c r="A12" s="36" t="inlineStr">
        <is>
          <t>全部下游表：port.basic_data_loan_foreclosure_bankruptcy、bpms.sync_loan_foreclosure_bankruptcy、bpms.biz_data_view_loan_details_foreclosure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5" t="inlineStr">
        <is>
          <t>字段</t>
        </is>
      </c>
      <c r="B14" s="5" t="inlineStr">
        <is>
          <t>7727000088</t>
        </is>
      </c>
      <c r="C14" s="5" t="inlineStr">
        <is>
          <t>7727000672</t>
        </is>
      </c>
      <c r="D14" s="5" t="inlineStr">
        <is>
          <t>7727004200</t>
        </is>
      </c>
      <c r="E14" s="5" t="inlineStr">
        <is>
          <t>7727000065</t>
        </is>
      </c>
      <c r="F14" s="5" t="inlineStr">
        <is>
          <t>7727000010</t>
        </is>
      </c>
    </row>
    <row r="15">
      <c r="A15" s="15" t="inlineStr">
        <is>
          <t>id</t>
        </is>
      </c>
      <c r="B15" s="6" t="inlineStr">
        <is>
          <t>1750674</t>
        </is>
      </c>
      <c r="C15" s="6" t="inlineStr">
        <is>
          <t>1750233</t>
        </is>
      </c>
      <c r="D15" s="6" t="inlineStr">
        <is>
          <t>1751818</t>
        </is>
      </c>
      <c r="E15" s="6" t="inlineStr">
        <is>
          <t>1750695</t>
        </is>
      </c>
      <c r="F15" s="6" t="inlineStr">
        <is>
          <t>1750688</t>
        </is>
      </c>
    </row>
    <row r="16">
      <c r="A16" s="15" t="inlineStr">
        <is>
          <t>loanid</t>
        </is>
      </c>
      <c r="B16" s="16" t="inlineStr">
        <is>
          <t>7727000088</t>
        </is>
      </c>
      <c r="C16" s="16" t="inlineStr">
        <is>
          <t>7727000672</t>
        </is>
      </c>
      <c r="D16" s="16" t="inlineStr">
        <is>
          <t>7727004200</t>
        </is>
      </c>
      <c r="E16" s="16" t="inlineStr">
        <is>
          <t>7727000065</t>
        </is>
      </c>
      <c r="F16" s="16" t="inlineStr">
        <is>
          <t>7727000010</t>
        </is>
      </c>
    </row>
    <row r="17">
      <c r="A17" s="15" t="inlineStr">
        <is>
          <t>dataasof</t>
        </is>
      </c>
      <c r="B17" s="6" t="inlineStr">
        <is>
          <t>2026-06-04</t>
        </is>
      </c>
      <c r="C17" s="6" t="inlineStr">
        <is>
          <t>2026-06-04</t>
        </is>
      </c>
      <c r="D17" s="6" t="inlineStr">
        <is>
          <t>2026-06-04</t>
        </is>
      </c>
      <c r="E17" s="6" t="inlineStr">
        <is>
          <t>2026-06-04</t>
        </is>
      </c>
      <c r="F17" s="6" t="inlineStr">
        <is>
          <t>2026-06-04</t>
        </is>
      </c>
    </row>
    <row r="18">
      <c r="A18" s="15" t="inlineStr">
        <is>
          <t>shellpointloanid</t>
        </is>
      </c>
      <c r="B18" s="16" t="inlineStr">
        <is>
          <t>1031718838</t>
        </is>
      </c>
      <c r="C18" s="16" t="inlineStr">
        <is>
          <t>1032761570</t>
        </is>
      </c>
      <c r="D18" s="16" t="inlineStr">
        <is>
          <t>0688132141</t>
        </is>
      </c>
      <c r="E18" s="16" t="inlineStr">
        <is>
          <t>1031718621</t>
        </is>
      </c>
      <c r="F18" s="16" t="inlineStr">
        <is>
          <t>1031718692</t>
        </is>
      </c>
    </row>
    <row r="19">
      <c r="A19" s="15" t="inlineStr">
        <is>
          <t>bkfileddate</t>
        </is>
      </c>
      <c r="B19" s="6" t="inlineStr">
        <is>
          <t>—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2025-04-30</t>
        </is>
      </c>
      <c r="F19" s="6" t="inlineStr">
        <is>
          <t>2024-02-06</t>
        </is>
      </c>
    </row>
    <row r="20">
      <c r="A20" s="15" t="inlineStr">
        <is>
          <t>bkstatus</t>
        </is>
      </c>
      <c r="B20" s="16" t="inlineStr">
        <is>
          <t>—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2</t>
        </is>
      </c>
      <c r="F20" s="16" t="inlineStr">
        <is>
          <t>1</t>
        </is>
      </c>
    </row>
    <row r="21">
      <c r="A21" s="15" t="inlineStr">
        <is>
          <t>bkremovalcode</t>
        </is>
      </c>
      <c r="B21" s="6" t="inlineStr">
        <is>
          <t>—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1</t>
        </is>
      </c>
      <c r="F21" s="6" t="inlineStr">
        <is>
          <t>—</t>
        </is>
      </c>
    </row>
    <row r="22">
      <c r="A22" s="15" t="inlineStr">
        <is>
          <t>bkremovaldate</t>
        </is>
      </c>
      <c r="B22" s="16" t="inlineStr">
        <is>
          <t>—</t>
        </is>
      </c>
      <c r="C22" s="16" t="inlineStr">
        <is>
          <t>—</t>
        </is>
      </c>
      <c r="D22" s="16" t="inlineStr">
        <is>
          <t>—</t>
        </is>
      </c>
      <c r="E22" s="16" t="inlineStr">
        <is>
          <t>2025-07-29</t>
        </is>
      </c>
      <c r="F22" s="16" t="inlineStr">
        <is>
          <t>—</t>
        </is>
      </c>
    </row>
    <row r="23">
      <c r="A23" s="15" t="inlineStr">
        <is>
          <t>bkchapter</t>
        </is>
      </c>
      <c r="B23" s="6" t="inlineStr">
        <is>
          <t>—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7</t>
        </is>
      </c>
      <c r="F23" s="6" t="inlineStr">
        <is>
          <t>13</t>
        </is>
      </c>
    </row>
    <row r="24">
      <c r="A24" s="15" t="inlineStr">
        <is>
          <t>bkcasenumber</t>
        </is>
      </c>
      <c r="B24" s="16" t="inlineStr">
        <is>
          <t>—</t>
        </is>
      </c>
      <c r="C24" s="16" t="inlineStr">
        <is>
          <t>—</t>
        </is>
      </c>
      <c r="D24" s="16" t="inlineStr">
        <is>
          <t>—</t>
        </is>
      </c>
      <c r="E24" s="16" t="inlineStr">
        <is>
          <t>2500228</t>
        </is>
      </c>
      <c r="F24" s="16" t="inlineStr">
        <is>
          <t>2310152</t>
        </is>
      </c>
    </row>
    <row r="25">
      <c r="A25" s="15" t="inlineStr">
        <is>
          <t>bkpostpetitionduedate</t>
        </is>
      </c>
      <c r="B25" s="6" t="inlineStr">
        <is>
          <t>—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2026-06-01</t>
        </is>
      </c>
    </row>
    <row r="26">
      <c r="A26" s="15" t="inlineStr">
        <is>
          <t>prepetitionduedate</t>
        </is>
      </c>
      <c r="B26" s="16" t="inlineStr">
        <is>
          <t>2025-01-01</t>
        </is>
      </c>
      <c r="C26" s="16" t="inlineStr">
        <is>
          <t>2026-02-01</t>
        </is>
      </c>
      <c r="D26" s="16" t="inlineStr">
        <is>
          <t>2024-12-01</t>
        </is>
      </c>
      <c r="E26" s="16" t="inlineStr">
        <is>
          <t>2024-03-01</t>
        </is>
      </c>
      <c r="F26" s="16" t="inlineStr">
        <is>
          <t>2026-04-01</t>
        </is>
      </c>
    </row>
    <row r="27">
      <c r="A27" s="15" t="inlineStr">
        <is>
          <t>pocfileddate</t>
        </is>
      </c>
      <c r="B27" s="6" t="inlineStr">
        <is>
          <t>—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2023-09-30</t>
        </is>
      </c>
    </row>
    <row r="28">
      <c r="A28" s="15" t="inlineStr">
        <is>
          <t>dischargeddate</t>
        </is>
      </c>
      <c r="B28" s="16" t="inlineStr">
        <is>
          <t>—</t>
        </is>
      </c>
      <c r="C28" s="16" t="inlineStr">
        <is>
          <t>—</t>
        </is>
      </c>
      <c r="D28" s="16" t="inlineStr">
        <is>
          <t>—</t>
        </is>
      </c>
      <c r="E28" s="16" t="inlineStr">
        <is>
          <t>2025-07-29</t>
        </is>
      </c>
      <c r="F28" s="16" t="inlineStr">
        <is>
          <t>—</t>
        </is>
      </c>
    </row>
    <row r="29">
      <c r="A29" s="15" t="inlineStr">
        <is>
          <t>dismisseddate</t>
        </is>
      </c>
      <c r="B29" s="6" t="inlineStr">
        <is>
          <t>—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</row>
    <row r="30">
      <c r="A30" s="15" t="inlineStr">
        <is>
          <t>mfrfileddate</t>
        </is>
      </c>
      <c r="B30" s="16" t="inlineStr">
        <is>
          <t>—</t>
        </is>
      </c>
      <c r="C30" s="16" t="inlineStr">
        <is>
          <t>—</t>
        </is>
      </c>
      <c r="D30" s="16" t="inlineStr">
        <is>
          <t>—</t>
        </is>
      </c>
      <c r="E30" s="16" t="inlineStr">
        <is>
          <t>2025-06-10</t>
        </is>
      </c>
      <c r="F30" s="16" t="inlineStr">
        <is>
          <t>—</t>
        </is>
      </c>
    </row>
    <row r="31">
      <c r="A31" s="15" t="inlineStr">
        <is>
          <t>mfrhearingdate</t>
        </is>
      </c>
      <c r="B31" s="6" t="inlineStr">
        <is>
          <t>—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2025-06-24</t>
        </is>
      </c>
      <c r="F31" s="6" t="inlineStr">
        <is>
          <t>—</t>
        </is>
      </c>
    </row>
    <row r="32">
      <c r="A32" s="15" t="inlineStr">
        <is>
          <t>mfrgranteddate</t>
        </is>
      </c>
      <c r="B32" s="16" t="inlineStr">
        <is>
          <t>—</t>
        </is>
      </c>
      <c r="C32" s="16" t="inlineStr">
        <is>
          <t>—</t>
        </is>
      </c>
      <c r="D32" s="16" t="inlineStr">
        <is>
          <t>—</t>
        </is>
      </c>
      <c r="E32" s="16" t="inlineStr">
        <is>
          <t>2025-06-25</t>
        </is>
      </c>
      <c r="F32" s="16" t="inlineStr">
        <is>
          <t>—</t>
        </is>
      </c>
    </row>
    <row r="33">
      <c r="A33" s="15" t="inlineStr">
        <is>
          <t>trusteeassetflag</t>
        </is>
      </c>
      <c r="B33" s="6" t="inlineStr">
        <is>
          <t>—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0</t>
        </is>
      </c>
      <c r="F33" s="6" t="inlineStr">
        <is>
          <t>0</t>
        </is>
      </c>
    </row>
    <row r="34">
      <c r="A34" s="15" t="inlineStr">
        <is>
          <t>trusteeassetdate</t>
        </is>
      </c>
      <c r="B34" s="16" t="inlineStr">
        <is>
          <t>—</t>
        </is>
      </c>
      <c r="C34" s="16" t="inlineStr">
        <is>
          <t>—</t>
        </is>
      </c>
      <c r="D34" s="16" t="inlineStr">
        <is>
          <t>—</t>
        </is>
      </c>
      <c r="E34" s="16" t="inlineStr">
        <is>
          <t>2025-06-01</t>
        </is>
      </c>
      <c r="F34" s="16" t="inlineStr">
        <is>
          <t>—</t>
        </is>
      </c>
    </row>
    <row r="35">
      <c r="A35" s="15" t="inlineStr">
        <is>
          <t>planconfirmationdate</t>
        </is>
      </c>
      <c r="B35" s="6" t="inlineStr">
        <is>
          <t>—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2024-07-11</t>
        </is>
      </c>
    </row>
    <row r="36">
      <c r="A36" s="15" t="inlineStr">
        <is>
          <t>bkstage</t>
        </is>
      </c>
      <c r="B36" s="16" t="inlineStr">
        <is>
          <t>—</t>
        </is>
      </c>
      <c r="C36" s="16" t="inlineStr">
        <is>
          <t>—</t>
        </is>
      </c>
      <c r="D36" s="16" t="inlineStr">
        <is>
          <t>—</t>
        </is>
      </c>
      <c r="E36" s="16" t="inlineStr">
        <is>
          <t>8</t>
        </is>
      </c>
      <c r="F36" s="16" t="inlineStr">
        <is>
          <t>4</t>
        </is>
      </c>
    </row>
    <row r="37">
      <c r="A37" s="15" t="inlineStr">
        <is>
          <t>bkfirm</t>
        </is>
      </c>
      <c r="B37" s="6" t="inlineStr">
        <is>
          <t>—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Aldridge Pite, LLP</t>
        </is>
      </c>
    </row>
    <row r="38">
      <c r="A38" s="15" t="inlineStr">
        <is>
          <t>reaffirmationdate</t>
        </is>
      </c>
      <c r="B38" s="16" t="inlineStr">
        <is>
          <t>—</t>
        </is>
      </c>
      <c r="C38" s="16" t="inlineStr">
        <is>
          <t>—</t>
        </is>
      </c>
      <c r="D38" s="16" t="inlineStr">
        <is>
          <t>—</t>
        </is>
      </c>
      <c r="E38" s="16" t="inlineStr">
        <is>
          <t>—</t>
        </is>
      </c>
      <c r="F38" s="16" t="inlineStr">
        <is>
          <t>—</t>
        </is>
      </c>
    </row>
    <row r="39">
      <c r="A39" s="15" t="inlineStr">
        <is>
          <t>trusteeabandonmentdate</t>
        </is>
      </c>
      <c r="B39" s="6" t="inlineStr">
        <is>
          <t>—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</row>
    <row r="40">
      <c r="A40" s="15" t="inlineStr">
        <is>
          <t>pocreferreddate</t>
        </is>
      </c>
      <c r="B40" s="16" t="inlineStr">
        <is>
          <t>—</t>
        </is>
      </c>
      <c r="C40" s="16" t="inlineStr">
        <is>
          <t>—</t>
        </is>
      </c>
      <c r="D40" s="16" t="inlineStr">
        <is>
          <t>—</t>
        </is>
      </c>
      <c r="E40" s="16" t="inlineStr">
        <is>
          <t>—</t>
        </is>
      </c>
      <c r="F40" s="16" t="inlineStr">
        <is>
          <t>—</t>
        </is>
      </c>
    </row>
    <row r="41">
      <c r="A41" s="15" t="inlineStr">
        <is>
          <t>pocbardate</t>
        </is>
      </c>
      <c r="B41" s="6" t="inlineStr">
        <is>
          <t>—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2024-04-16</t>
        </is>
      </c>
    </row>
    <row r="42">
      <c r="A42" s="15" t="inlineStr">
        <is>
          <t>mfrreferred</t>
        </is>
      </c>
      <c r="B42" s="16" t="inlineStr">
        <is>
          <t>—</t>
        </is>
      </c>
      <c r="C42" s="16" t="inlineStr">
        <is>
          <t>—</t>
        </is>
      </c>
      <c r="D42" s="16" t="inlineStr">
        <is>
          <t>—</t>
        </is>
      </c>
      <c r="E42" s="16" t="inlineStr">
        <is>
          <t>2025-05-15</t>
        </is>
      </c>
      <c r="F42" s="16" t="inlineStr">
        <is>
          <t>2025-11-10</t>
        </is>
      </c>
    </row>
    <row r="43">
      <c r="A43" s="15" t="inlineStr">
        <is>
          <t>mfrhearingresults</t>
        </is>
      </c>
      <c r="B43" s="6" t="inlineStr">
        <is>
          <t>—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3</t>
        </is>
      </c>
      <c r="F43" s="6" t="inlineStr">
        <is>
          <t>0</t>
        </is>
      </c>
    </row>
    <row r="44">
      <c r="A44" s="15" t="inlineStr">
        <is>
          <t>cramdowndatereferred</t>
        </is>
      </c>
      <c r="B44" s="16" t="inlineStr">
        <is>
          <t>—</t>
        </is>
      </c>
      <c r="C44" s="16" t="inlineStr">
        <is>
          <t>—</t>
        </is>
      </c>
      <c r="D44" s="16" t="inlineStr">
        <is>
          <t>—</t>
        </is>
      </c>
      <c r="E44" s="16" t="inlineStr">
        <is>
          <t>—</t>
        </is>
      </c>
      <c r="F44" s="16" t="inlineStr">
        <is>
          <t>—</t>
        </is>
      </c>
    </row>
    <row r="45">
      <c r="A45" s="15" t="inlineStr">
        <is>
          <t>cramdownobjectionfileddate</t>
        </is>
      </c>
      <c r="B45" s="6" t="inlineStr">
        <is>
          <t>—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</row>
    <row r="46">
      <c r="A46" s="15" t="inlineStr">
        <is>
          <t>cramdownresultdate</t>
        </is>
      </c>
      <c r="B46" s="16" t="inlineStr">
        <is>
          <t>—</t>
        </is>
      </c>
      <c r="C46" s="16" t="inlineStr">
        <is>
          <t>—</t>
        </is>
      </c>
      <c r="D46" s="16" t="inlineStr">
        <is>
          <t>—</t>
        </is>
      </c>
      <c r="E46" s="16" t="inlineStr">
        <is>
          <t>—</t>
        </is>
      </c>
      <c r="F46" s="16" t="inlineStr">
        <is>
          <t>—</t>
        </is>
      </c>
    </row>
    <row r="47">
      <c r="A47" s="15" t="inlineStr">
        <is>
          <t>cramdownhearingresults</t>
        </is>
      </c>
      <c r="B47" s="6" t="inlineStr">
        <is>
          <t>—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0</t>
        </is>
      </c>
      <c r="F47" s="6" t="inlineStr">
        <is>
          <t>0</t>
        </is>
      </c>
    </row>
    <row r="48">
      <c r="A48" s="15" t="inlineStr">
        <is>
          <t>adversarialactionfileddate</t>
        </is>
      </c>
      <c r="B48" s="16" t="inlineStr">
        <is>
          <t>—</t>
        </is>
      </c>
      <c r="C48" s="16" t="inlineStr">
        <is>
          <t>—</t>
        </is>
      </c>
      <c r="D48" s="16" t="inlineStr">
        <is>
          <t>—</t>
        </is>
      </c>
      <c r="E48" s="16" t="inlineStr">
        <is>
          <t>—</t>
        </is>
      </c>
      <c r="F48" s="16" t="inlineStr">
        <is>
          <t>—</t>
        </is>
      </c>
    </row>
    <row r="49">
      <c r="A49" s="15" t="inlineStr">
        <is>
          <t>adversarialhearingdate</t>
        </is>
      </c>
      <c r="B49" s="6" t="inlineStr">
        <is>
          <t>—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</row>
    <row r="50">
      <c r="A50" s="15" t="inlineStr">
        <is>
          <t>adversarialresultdate</t>
        </is>
      </c>
      <c r="B50" s="16" t="inlineStr">
        <is>
          <t>—</t>
        </is>
      </c>
      <c r="C50" s="16" t="inlineStr">
        <is>
          <t>—</t>
        </is>
      </c>
      <c r="D50" s="16" t="inlineStr">
        <is>
          <t>—</t>
        </is>
      </c>
      <c r="E50" s="16" t="inlineStr">
        <is>
          <t>—</t>
        </is>
      </c>
      <c r="F50" s="16" t="inlineStr">
        <is>
          <t>—</t>
        </is>
      </c>
    </row>
    <row r="51">
      <c r="A51" s="15" t="inlineStr">
        <is>
          <t>adversarialresults</t>
        </is>
      </c>
      <c r="B51" s="6" t="inlineStr">
        <is>
          <t>—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0</t>
        </is>
      </c>
      <c r="F51" s="6" t="inlineStr">
        <is>
          <t>0</t>
        </is>
      </c>
    </row>
    <row r="52">
      <c r="A52" s="15" t="inlineStr">
        <is>
          <t>cramdownflag</t>
        </is>
      </c>
      <c r="B52" s="16" t="inlineStr">
        <is>
          <t>—</t>
        </is>
      </c>
      <c r="C52" s="16" t="inlineStr">
        <is>
          <t>—</t>
        </is>
      </c>
      <c r="D52" s="16" t="inlineStr">
        <is>
          <t>—</t>
        </is>
      </c>
      <c r="E52" s="16" t="inlineStr">
        <is>
          <t>0</t>
        </is>
      </c>
      <c r="F52" s="16" t="inlineStr">
        <is>
          <t>0</t>
        </is>
      </c>
    </row>
    <row r="53">
      <c r="A53" s="15" t="inlineStr">
        <is>
          <t>bankruptcypaymenttype</t>
        </is>
      </c>
      <c r="B53" s="6" t="inlineStr">
        <is>
          <t>—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1</t>
        </is>
      </c>
    </row>
    <row r="54">
      <c r="A54" s="15" t="inlineStr">
        <is>
          <t>debtorintention</t>
        </is>
      </c>
      <c r="B54" s="16" t="inlineStr">
        <is>
          <t>—</t>
        </is>
      </c>
      <c r="C54" s="16" t="inlineStr">
        <is>
          <t>—</t>
        </is>
      </c>
      <c r="D54" s="16" t="inlineStr">
        <is>
          <t>—</t>
        </is>
      </c>
      <c r="E54" s="16" t="inlineStr">
        <is>
          <t>—</t>
        </is>
      </c>
      <c r="F54" s="16" t="inlineStr">
        <is>
          <t>1</t>
        </is>
      </c>
    </row>
    <row r="55">
      <c r="A55" s="15" t="inlineStr">
        <is>
          <t>jointfilerflag</t>
        </is>
      </c>
      <c r="B55" s="6" t="inlineStr">
        <is>
          <t>—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0</t>
        </is>
      </c>
    </row>
    <row r="56">
      <c r="A56" s="15" t="inlineStr">
        <is>
          <t>activebkflag</t>
        </is>
      </c>
      <c r="B56" s="16" t="inlineStr">
        <is>
          <t>0</t>
        </is>
      </c>
      <c r="C56" s="16" t="inlineStr">
        <is>
          <t>0</t>
        </is>
      </c>
      <c r="D56" s="16" t="inlineStr">
        <is>
          <t>0</t>
        </is>
      </c>
      <c r="E56" s="16" t="inlineStr">
        <is>
          <t>0</t>
        </is>
      </c>
      <c r="F56" s="16" t="inlineStr">
        <is>
          <t>1</t>
        </is>
      </c>
    </row>
    <row r="57">
      <c r="A57" s="15" t="inlineStr">
        <is>
          <t>apocfileddate</t>
        </is>
      </c>
      <c r="B57" s="6" t="inlineStr">
        <is>
          <t>—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</row>
    <row r="58">
      <c r="A58" s="15" t="inlineStr">
        <is>
          <t>apocreferraldate</t>
        </is>
      </c>
      <c r="B58" s="16" t="inlineStr">
        <is>
          <t>—</t>
        </is>
      </c>
      <c r="C58" s="16" t="inlineStr">
        <is>
          <t>—</t>
        </is>
      </c>
      <c r="D58" s="16" t="inlineStr">
        <is>
          <t>—</t>
        </is>
      </c>
      <c r="E58" s="16" t="inlineStr">
        <is>
          <t>—</t>
        </is>
      </c>
      <c r="F58" s="16" t="inlineStr">
        <is>
          <t>—</t>
        </is>
      </c>
    </row>
    <row r="59">
      <c r="A59" s="15" t="inlineStr">
        <is>
          <t>reasonforapoc</t>
        </is>
      </c>
      <c r="B59" s="6" t="inlineStr">
        <is>
          <t>—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</row>
    <row r="60">
      <c r="A60" s="15" t="inlineStr">
        <is>
          <t>attorney</t>
        </is>
      </c>
      <c r="B60" s="16" t="inlineStr">
        <is>
          <t>—</t>
        </is>
      </c>
      <c r="C60" s="16" t="inlineStr">
        <is>
          <t>—</t>
        </is>
      </c>
      <c r="D60" s="16" t="inlineStr">
        <is>
          <t>—</t>
        </is>
      </c>
      <c r="E60" s="16" t="inlineStr">
        <is>
          <t>—</t>
        </is>
      </c>
      <c r="F60" s="16" t="inlineStr">
        <is>
          <t>—</t>
        </is>
      </c>
    </row>
    <row r="61">
      <c r="A61" s="15" t="inlineStr">
        <is>
          <t>create_time</t>
        </is>
      </c>
      <c r="B61" s="6" t="inlineStr">
        <is>
          <t>2026-06-05 19:37:17</t>
        </is>
      </c>
      <c r="C61" s="6" t="inlineStr">
        <is>
          <t>2026-06-05 19:37:17</t>
        </is>
      </c>
      <c r="D61" s="6" t="inlineStr">
        <is>
          <t>2026-06-05 19:37:17</t>
        </is>
      </c>
      <c r="E61" s="6" t="inlineStr">
        <is>
          <t>2026-06-05 19:37:17</t>
        </is>
      </c>
      <c r="F61" s="6" t="inlineStr">
        <is>
          <t>2026-06-05 19:37:17</t>
        </is>
      </c>
    </row>
    <row r="62">
      <c r="A62" s="15" t="inlineStr">
        <is>
          <t>update_time</t>
        </is>
      </c>
      <c r="B62" s="16" t="inlineStr">
        <is>
          <t>2026-06-05 19:37:17</t>
        </is>
      </c>
      <c r="C62" s="16" t="inlineStr">
        <is>
          <t>2026-06-05 19:37:17</t>
        </is>
      </c>
      <c r="D62" s="16" t="inlineStr">
        <is>
          <t>2026-06-05 19:37:17</t>
        </is>
      </c>
      <c r="E62" s="16" t="inlineStr">
        <is>
          <t>2026-06-05 19:37:17</t>
        </is>
      </c>
      <c r="F62" s="16" t="inlineStr">
        <is>
          <t>2026-06-05 19:37:17</t>
        </is>
      </c>
    </row>
    <row r="63">
      <c r="A63" s="15" t="inlineStr">
        <is>
          <t>bkrepayplanpaymentcount</t>
        </is>
      </c>
      <c r="B63" s="6" t="inlineStr">
        <is>
          <t>—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60</t>
        </is>
      </c>
    </row>
    <row r="64">
      <c r="A64" s="15" t="inlineStr">
        <is>
          <t>bksourceoffundscode</t>
        </is>
      </c>
      <c r="B64" s="16" t="inlineStr">
        <is>
          <t>—</t>
        </is>
      </c>
      <c r="C64" s="16" t="inlineStr">
        <is>
          <t>—</t>
        </is>
      </c>
      <c r="D64" s="16" t="inlineStr">
        <is>
          <t>—</t>
        </is>
      </c>
      <c r="E64" s="16" t="inlineStr">
        <is>
          <t>—</t>
        </is>
      </c>
      <c r="F64" s="16" t="inlineStr">
        <is>
          <t>—</t>
        </is>
      </c>
    </row>
    <row r="65">
      <c r="A65" s="15" t="inlineStr">
        <is>
          <t>bkpoccourtreceiveddate</t>
        </is>
      </c>
      <c r="B65" s="6" t="inlineStr">
        <is>
          <t>—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</row>
    <row r="66">
      <c r="A66" s="15" t="inlineStr">
        <is>
          <t>bkrcurrentstatusdate</t>
        </is>
      </c>
      <c r="B66" s="16" t="inlineStr">
        <is>
          <t>—</t>
        </is>
      </c>
      <c r="C66" s="16" t="inlineStr">
        <is>
          <t>—</t>
        </is>
      </c>
      <c r="D66" s="16" t="inlineStr">
        <is>
          <t>—</t>
        </is>
      </c>
      <c r="E66" s="16" t="inlineStr">
        <is>
          <t>—</t>
        </is>
      </c>
      <c r="F66" s="16" t="inlineStr">
        <is>
          <t>2026-05-26</t>
        </is>
      </c>
    </row>
    <row r="67">
      <c r="A67" s="15" t="inlineStr">
        <is>
          <t>bkborrowerintent</t>
        </is>
      </c>
      <c r="B67" s="6" t="inlineStr">
        <is>
          <t>—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1</t>
        </is>
      </c>
    </row>
    <row r="68">
      <c r="A68" s="15" t="inlineStr">
        <is>
          <t>bkpostpetitionpaymentcurrent</t>
        </is>
      </c>
      <c r="B68" s="16" t="inlineStr">
        <is>
          <t>—</t>
        </is>
      </c>
      <c r="C68" s="16" t="inlineStr">
        <is>
          <t>—</t>
        </is>
      </c>
      <c r="D68" s="16" t="inlineStr">
        <is>
          <t>—</t>
        </is>
      </c>
      <c r="E68" s="16" t="inlineStr">
        <is>
          <t>—</t>
        </is>
      </c>
      <c r="F68" s="16" t="inlineStr">
        <is>
          <t>2192</t>
        </is>
      </c>
    </row>
    <row r="69">
      <c r="A69" s="15" t="inlineStr">
        <is>
          <t>bkcramdownpercent</t>
        </is>
      </c>
      <c r="B69" s="6" t="inlineStr">
        <is>
          <t>—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</row>
    <row r="70">
      <c r="A70" s="15" t="inlineStr">
        <is>
          <t>bkpostsuspensebalance</t>
        </is>
      </c>
      <c r="B70" s="16" t="inlineStr">
        <is>
          <t>—</t>
        </is>
      </c>
      <c r="C70" s="16" t="inlineStr">
        <is>
          <t>—</t>
        </is>
      </c>
      <c r="D70" s="16" t="inlineStr">
        <is>
          <t>—</t>
        </is>
      </c>
      <c r="E70" s="16" t="inlineStr">
        <is>
          <t>—</t>
        </is>
      </c>
      <c r="F70" s="16" t="inlineStr">
        <is>
          <t>—</t>
        </is>
      </c>
    </row>
    <row r="71">
      <c r="A71" s="15" t="inlineStr">
        <is>
          <t>bkpresuspensebalance</t>
        </is>
      </c>
      <c r="B71" s="6" t="inlineStr">
        <is>
          <t>—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</row>
    <row r="72">
      <c r="A72" s="15" t="inlineStr">
        <is>
          <t>investorloanid</t>
        </is>
      </c>
      <c r="B72" s="16" t="inlineStr">
        <is>
          <t>7727000088</t>
        </is>
      </c>
      <c r="C72" s="16" t="inlineStr">
        <is>
          <t>7727000672</t>
        </is>
      </c>
      <c r="D72" s="16" t="inlineStr">
        <is>
          <t>7727004200</t>
        </is>
      </c>
      <c r="E72" s="16" t="inlineStr">
        <is>
          <t>7727000065</t>
        </is>
      </c>
      <c r="F72" s="16" t="inlineStr">
        <is>
          <t>7727000010</t>
        </is>
      </c>
    </row>
    <row r="73">
      <c r="A73" s="15" t="inlineStr">
        <is>
          <t>bkfilingstate</t>
        </is>
      </c>
      <c r="B73" s="6" t="inlineStr">
        <is>
          <t>—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WV</t>
        </is>
      </c>
      <c r="F73" s="6" t="inlineStr">
        <is>
          <t>FL</t>
        </is>
      </c>
    </row>
    <row r="74">
      <c r="A74" s="15" t="inlineStr">
        <is>
          <t>bkfilingregion</t>
        </is>
      </c>
      <c r="B74" s="16" t="inlineStr">
        <is>
          <t>—</t>
        </is>
      </c>
      <c r="C74" s="16" t="inlineStr">
        <is>
          <t>—</t>
        </is>
      </c>
      <c r="D74" s="16" t="inlineStr">
        <is>
          <t>—</t>
        </is>
      </c>
      <c r="E74" s="16" t="inlineStr">
        <is>
          <t>Northern District of WV (Martinsburg)</t>
        </is>
      </c>
      <c r="F74" s="16" t="inlineStr">
        <is>
          <t xml:space="preserve">Northern District of Florida, Gainesville Division                    </t>
        </is>
      </c>
    </row>
  </sheetData>
  <mergeCells count="13">
    <mergeCell ref="A2:F2"/>
    <mergeCell ref="A11:F11"/>
    <mergeCell ref="A10:F10"/>
    <mergeCell ref="A13:F13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4" t="inlineStr">
        <is>
          <t>newrez.portnewrezlm — 损失缓解(LM)源表</t>
        </is>
      </c>
    </row>
    <row r="2">
      <c r="A2" s="13" t="inlineStr">
        <is>
          <t>全 56 字段 · 取数口径：dataasof=MAX(每贷款) · 命中 5/5 贷款（无行的贷款列显示 —） · prod 实测 2026-06-04 · 业务日 2026-06-01</t>
        </is>
      </c>
    </row>
    <row r="3" ht="56" customHeight="1">
      <c r="A3" s="14" t="inlineStr">
        <is>
          <t>查询 SQL（prod 只读）：
-- newrez.portnewrezlm · mysql_prod(只读) · 每贷款 dataasof=MAX(最新快照) · 业务日 2026-06-01
SELECT t.* FROM newrez.portnewrezlm t JOIN (SELECT loanid, MAX(dataasof) AS _md FROM newrez.portnewrezlm WHERE loanid IN ('7727000088','7727000672','7727004200','7727000065','7727000010') GROUP BY loanid) m ON t.loanid=m.loanid AND t.dataasof=m._md;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60" customHeight="1">
      <c r="A5" s="36" t="inlineStr">
        <is>
          <t>业务含义/目的：Newrez 损失缓解(LM)源表，按贷款×LM 周期(dealstartdate)，含 lmdeal/lmprogram/lmstatus/lmdecision 等编码。 LM 事实底座；提供‘是否在协商还款方案(暂停/替代法拍)’。</t>
        </is>
      </c>
    </row>
    <row r="6" ht="30" customHeight="1">
      <c r="A6" s="36" t="inlineStr">
        <is>
          <t>何时来查：查某贷款 LM 周期/项目/决定原值，或核对 BPS LM 面板。</t>
        </is>
      </c>
    </row>
    <row r="7" ht="30" customHeight="1">
      <c r="A7" s="36" t="inlineStr">
        <is>
          <t>为什么这样处理：LM 是法拍的替代/暂停路径，需单列保真；编码经 datadic 解码。</t>
        </is>
      </c>
    </row>
    <row r="8" ht="30" customHeight="1">
      <c r="A8" s="36" t="inlineStr">
        <is>
          <t>数据粒度：1 行/贷款/LM 周期(dealstartdate)；多周期多行。</t>
        </is>
      </c>
    </row>
    <row r="9" ht="30" customHeight="1">
      <c r="A9" s="36" t="inlineStr">
        <is>
          <t>上游链路：Servicer 文件(S3, L0) → newrez.portnewrezlm</t>
        </is>
      </c>
    </row>
    <row r="10" ht="18" customHeight="1">
      <c r="A10" s="36" t="inlineStr">
        <is>
          <t>全部上游表：Servicer 文件(S3, L0)</t>
        </is>
      </c>
    </row>
    <row r="11" ht="120" customHeight="1">
      <c r="A11" s="36" t="inlineStr">
        <is>
          <t>下游链路：portnewrezlm → port.basic_data_loan_foreclosure_loss_mitigation〔basic_data_pool_config.py:799-843，JOIN newrez.portnewrezdatadic〕 → bpms.sync_loan_foreclosure_loss_mitigation〔asset_managment_config.py:799-819〕 → bpms.biz_data_view_loan_details_foreclosure(视图) → BPS LM 面板</t>
        </is>
      </c>
    </row>
    <row r="12" ht="60" customHeight="1">
      <c r="A12" s="36" t="inlineStr">
        <is>
          <t>全部下游表：port.basic_data_loan_foreclosure_loss_mitigation、bpms.sync_loan_foreclosure_loss_mitigation、bpms.biz_data_view_loan_details_foreclosure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5" t="inlineStr">
        <is>
          <t>字段</t>
        </is>
      </c>
      <c r="B14" s="5" t="inlineStr">
        <is>
          <t>7727000088</t>
        </is>
      </c>
      <c r="C14" s="5" t="inlineStr">
        <is>
          <t>7727000672</t>
        </is>
      </c>
      <c r="D14" s="5" t="inlineStr">
        <is>
          <t>7727004200</t>
        </is>
      </c>
      <c r="E14" s="5" t="inlineStr">
        <is>
          <t>7727000065</t>
        </is>
      </c>
      <c r="F14" s="5" t="inlineStr">
        <is>
          <t>7727000010</t>
        </is>
      </c>
    </row>
    <row r="15">
      <c r="A15" s="15" t="inlineStr">
        <is>
          <t>id</t>
        </is>
      </c>
      <c r="B15" s="6" t="inlineStr">
        <is>
          <t>1747370</t>
        </is>
      </c>
      <c r="C15" s="6" t="inlineStr">
        <is>
          <t>1746929</t>
        </is>
      </c>
      <c r="D15" s="6" t="inlineStr">
        <is>
          <t>1748514</t>
        </is>
      </c>
      <c r="E15" s="6" t="inlineStr">
        <is>
          <t>1747391</t>
        </is>
      </c>
      <c r="F15" s="6" t="inlineStr">
        <is>
          <t>1747384</t>
        </is>
      </c>
    </row>
    <row r="16">
      <c r="A16" s="15" t="inlineStr">
        <is>
          <t>loanid</t>
        </is>
      </c>
      <c r="B16" s="16" t="inlineStr">
        <is>
          <t>7727000088</t>
        </is>
      </c>
      <c r="C16" s="16" t="inlineStr">
        <is>
          <t>7727000672</t>
        </is>
      </c>
      <c r="D16" s="16" t="inlineStr">
        <is>
          <t>7727004200</t>
        </is>
      </c>
      <c r="E16" s="16" t="inlineStr">
        <is>
          <t>7727000065</t>
        </is>
      </c>
      <c r="F16" s="16" t="inlineStr">
        <is>
          <t>7727000010</t>
        </is>
      </c>
    </row>
    <row r="17">
      <c r="A17" s="15" t="inlineStr">
        <is>
          <t>dataasof</t>
        </is>
      </c>
      <c r="B17" s="6" t="inlineStr">
        <is>
          <t>2026-06-04</t>
        </is>
      </c>
      <c r="C17" s="6" t="inlineStr">
        <is>
          <t>2026-06-04</t>
        </is>
      </c>
      <c r="D17" s="6" t="inlineStr">
        <is>
          <t>2026-06-04</t>
        </is>
      </c>
      <c r="E17" s="6" t="inlineStr">
        <is>
          <t>2026-06-04</t>
        </is>
      </c>
      <c r="F17" s="6" t="inlineStr">
        <is>
          <t>2026-06-04</t>
        </is>
      </c>
    </row>
    <row r="18">
      <c r="A18" s="15" t="inlineStr">
        <is>
          <t>shellpointloanid</t>
        </is>
      </c>
      <c r="B18" s="16" t="inlineStr">
        <is>
          <t>1031718838</t>
        </is>
      </c>
      <c r="C18" s="16" t="inlineStr">
        <is>
          <t>1032761570</t>
        </is>
      </c>
      <c r="D18" s="16" t="inlineStr">
        <is>
          <t>0688132141</t>
        </is>
      </c>
      <c r="E18" s="16" t="inlineStr">
        <is>
          <t>1031718621</t>
        </is>
      </c>
      <c r="F18" s="16" t="inlineStr">
        <is>
          <t>1031718692</t>
        </is>
      </c>
    </row>
    <row r="19">
      <c r="A19" s="15" t="inlineStr">
        <is>
          <t>hardshiptype</t>
        </is>
      </c>
      <c r="B19" s="6" t="inlineStr">
        <is>
          <t>11</t>
        </is>
      </c>
      <c r="C19" s="6" t="inlineStr">
        <is>
          <t>11</t>
        </is>
      </c>
      <c r="D19" s="6" t="inlineStr">
        <is>
          <t>20</t>
        </is>
      </c>
      <c r="E19" s="6" t="inlineStr">
        <is>
          <t>11</t>
        </is>
      </c>
      <c r="F19" s="6" t="inlineStr">
        <is>
          <t>12</t>
        </is>
      </c>
    </row>
    <row r="20">
      <c r="A20" s="15" t="inlineStr">
        <is>
          <t>borrowerintention</t>
        </is>
      </c>
      <c r="B20" s="16" t="inlineStr">
        <is>
          <t>—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—</t>
        </is>
      </c>
      <c r="F20" s="16" t="inlineStr">
        <is>
          <t>—</t>
        </is>
      </c>
    </row>
    <row r="21">
      <c r="A21" s="15" t="inlineStr">
        <is>
          <t>lmdeal</t>
        </is>
      </c>
      <c r="B21" s="6" t="inlineStr">
        <is>
          <t>7</t>
        </is>
      </c>
      <c r="C21" s="6" t="inlineStr">
        <is>
          <t>4</t>
        </is>
      </c>
      <c r="D21" s="6" t="inlineStr">
        <is>
          <t>1</t>
        </is>
      </c>
      <c r="E21" s="6" t="inlineStr">
        <is>
          <t>2</t>
        </is>
      </c>
      <c r="F21" s="6" t="inlineStr">
        <is>
          <t>1</t>
        </is>
      </c>
    </row>
    <row r="22">
      <c r="A22" s="15" t="inlineStr">
        <is>
          <t>dealstartdate</t>
        </is>
      </c>
      <c r="B22" s="16" t="inlineStr">
        <is>
          <t>2026-02-17</t>
        </is>
      </c>
      <c r="C22" s="16" t="inlineStr">
        <is>
          <t>2026-02-25</t>
        </is>
      </c>
      <c r="D22" s="16" t="inlineStr">
        <is>
          <t>2026-01-06</t>
        </is>
      </c>
      <c r="E22" s="16" t="inlineStr">
        <is>
          <t>2025-07-01</t>
        </is>
      </c>
      <c r="F22" s="16" t="inlineStr">
        <is>
          <t>2026-04-16</t>
        </is>
      </c>
    </row>
    <row r="23">
      <c r="A23" s="15" t="inlineStr">
        <is>
          <t>daysindeal</t>
        </is>
      </c>
      <c r="B23" s="6" t="inlineStr">
        <is>
          <t>66</t>
        </is>
      </c>
      <c r="C23" s="6" t="inlineStr">
        <is>
          <t>99</t>
        </is>
      </c>
      <c r="D23" s="6" t="inlineStr">
        <is>
          <t>27</t>
        </is>
      </c>
      <c r="E23" s="6" t="inlineStr">
        <is>
          <t>0</t>
        </is>
      </c>
      <c r="F23" s="6" t="inlineStr">
        <is>
          <t>12</t>
        </is>
      </c>
    </row>
    <row r="24">
      <c r="A24" s="15" t="inlineStr">
        <is>
          <t>lmstatus</t>
        </is>
      </c>
      <c r="B24" s="16" t="inlineStr">
        <is>
          <t>112</t>
        </is>
      </c>
      <c r="C24" s="16" t="inlineStr">
        <is>
          <t>25</t>
        </is>
      </c>
      <c r="D24" s="16" t="inlineStr">
        <is>
          <t>5</t>
        </is>
      </c>
      <c r="E24" s="16" t="inlineStr">
        <is>
          <t>166</t>
        </is>
      </c>
      <c r="F24" s="16" t="inlineStr">
        <is>
          <t>112</t>
        </is>
      </c>
    </row>
    <row r="25">
      <c r="A25" s="15" t="inlineStr">
        <is>
          <t>statusstartdate</t>
        </is>
      </c>
      <c r="B25" s="6" t="inlineStr">
        <is>
          <t>2026-04-22</t>
        </is>
      </c>
      <c r="C25" s="6" t="inlineStr">
        <is>
          <t>2026-03-24</t>
        </is>
      </c>
      <c r="D25" s="6" t="inlineStr">
        <is>
          <t>2026-01-14</t>
        </is>
      </c>
      <c r="E25" s="6" t="inlineStr">
        <is>
          <t>2024-11-26</t>
        </is>
      </c>
      <c r="F25" s="6" t="inlineStr">
        <is>
          <t>2026-04-23</t>
        </is>
      </c>
    </row>
    <row r="26">
      <c r="A26" s="15" t="inlineStr">
        <is>
          <t>daysinstatus</t>
        </is>
      </c>
      <c r="B26" s="16" t="inlineStr">
        <is>
          <t>2</t>
        </is>
      </c>
      <c r="C26" s="16" t="inlineStr">
        <is>
          <t>72</t>
        </is>
      </c>
      <c r="D26" s="16" t="inlineStr">
        <is>
          <t>19</t>
        </is>
      </c>
      <c r="E26" s="16" t="inlineStr">
        <is>
          <t>217</t>
        </is>
      </c>
      <c r="F26" s="16" t="inlineStr">
        <is>
          <t>5</t>
        </is>
      </c>
    </row>
    <row r="27">
      <c r="A27" s="15" t="inlineStr">
        <is>
          <t>lmprogram</t>
        </is>
      </c>
      <c r="B27" s="6" t="inlineStr">
        <is>
          <t>10</t>
        </is>
      </c>
      <c r="C27" s="6" t="inlineStr">
        <is>
          <t>29</t>
        </is>
      </c>
      <c r="D27" s="6" t="inlineStr">
        <is>
          <t>496</t>
        </is>
      </c>
      <c r="E27" s="6" t="inlineStr">
        <is>
          <t>21</t>
        </is>
      </c>
      <c r="F27" s="6" t="inlineStr">
        <is>
          <t>498</t>
        </is>
      </c>
    </row>
    <row r="28">
      <c r="A28" s="15" t="inlineStr">
        <is>
          <t>lmdecision</t>
        </is>
      </c>
      <c r="B28" s="16" t="inlineStr">
        <is>
          <t>6</t>
        </is>
      </c>
      <c r="C28" s="16" t="inlineStr">
        <is>
          <t>99</t>
        </is>
      </c>
      <c r="D28" s="16" t="inlineStr">
        <is>
          <t>10</t>
        </is>
      </c>
      <c r="E28" s="16" t="inlineStr">
        <is>
          <t>11</t>
        </is>
      </c>
      <c r="F28" s="16" t="inlineStr">
        <is>
          <t>6</t>
        </is>
      </c>
    </row>
    <row r="29">
      <c r="A29" s="15" t="inlineStr">
        <is>
          <t>lmremovaldate</t>
        </is>
      </c>
      <c r="B29" s="6" t="inlineStr">
        <is>
          <t>2026-04-24</t>
        </is>
      </c>
      <c r="C29" s="6" t="inlineStr">
        <is>
          <t>—</t>
        </is>
      </c>
      <c r="D29" s="6" t="inlineStr">
        <is>
          <t>2026-02-02</t>
        </is>
      </c>
      <c r="E29" s="6" t="inlineStr">
        <is>
          <t>2025-07-01</t>
        </is>
      </c>
      <c r="F29" s="6" t="inlineStr">
        <is>
          <t>2026-04-28</t>
        </is>
      </c>
    </row>
    <row r="30">
      <c r="A30" s="15" t="inlineStr">
        <is>
          <t>denialreason</t>
        </is>
      </c>
      <c r="B30" s="16" t="inlineStr">
        <is>
          <t>40</t>
        </is>
      </c>
      <c r="C30" s="16" t="inlineStr">
        <is>
          <t>—</t>
        </is>
      </c>
      <c r="D30" s="16" t="inlineStr">
        <is>
          <t>—</t>
        </is>
      </c>
      <c r="E30" s="16" t="inlineStr">
        <is>
          <t>—</t>
        </is>
      </c>
      <c r="F30" s="16" t="inlineStr">
        <is>
          <t>124</t>
        </is>
      </c>
    </row>
    <row r="31">
      <c r="A31" s="15" t="inlineStr">
        <is>
          <t>forbearanceagreementdate</t>
        </is>
      </c>
      <c r="B31" s="6" t="inlineStr">
        <is>
          <t>—</t>
        </is>
      </c>
      <c r="C31" s="6" t="inlineStr">
        <is>
          <t>—</t>
        </is>
      </c>
      <c r="D31" s="6" t="inlineStr">
        <is>
          <t>2025-02-01</t>
        </is>
      </c>
      <c r="E31" s="6" t="inlineStr">
        <is>
          <t>—</t>
        </is>
      </c>
      <c r="F31" s="6" t="inlineStr">
        <is>
          <t>—</t>
        </is>
      </c>
    </row>
    <row r="32">
      <c r="A32" s="15" t="inlineStr">
        <is>
          <t>forbearancedatecompleted</t>
        </is>
      </c>
      <c r="B32" s="16" t="inlineStr">
        <is>
          <t>—</t>
        </is>
      </c>
      <c r="C32" s="16" t="inlineStr">
        <is>
          <t>—</t>
        </is>
      </c>
      <c r="D32" s="16" t="inlineStr">
        <is>
          <t>2025-05-01</t>
        </is>
      </c>
      <c r="E32" s="16" t="inlineStr">
        <is>
          <t>—</t>
        </is>
      </c>
      <c r="F32" s="16" t="inlineStr">
        <is>
          <t>—</t>
        </is>
      </c>
    </row>
    <row r="33">
      <c r="A33" s="15" t="inlineStr">
        <is>
          <t>forbearancebeginningduedate</t>
        </is>
      </c>
      <c r="B33" s="6" t="inlineStr">
        <is>
          <t>—</t>
        </is>
      </c>
      <c r="C33" s="6" t="inlineStr">
        <is>
          <t>—</t>
        </is>
      </c>
      <c r="D33" s="6" t="inlineStr">
        <is>
          <t>2025-02-01</t>
        </is>
      </c>
      <c r="E33" s="6" t="inlineStr">
        <is>
          <t>—</t>
        </is>
      </c>
      <c r="F33" s="6" t="inlineStr">
        <is>
          <t>—</t>
        </is>
      </c>
    </row>
    <row r="34">
      <c r="A34" s="15" t="inlineStr">
        <is>
          <t>forbearanceendingduedate</t>
        </is>
      </c>
      <c r="B34" s="16" t="inlineStr">
        <is>
          <t>—</t>
        </is>
      </c>
      <c r="C34" s="16" t="inlineStr">
        <is>
          <t>—</t>
        </is>
      </c>
      <c r="D34" s="16" t="inlineStr">
        <is>
          <t>2025-04-30</t>
        </is>
      </c>
      <c r="E34" s="16" t="inlineStr">
        <is>
          <t>—</t>
        </is>
      </c>
      <c r="F34" s="16" t="inlineStr">
        <is>
          <t>—</t>
        </is>
      </c>
    </row>
    <row r="35">
      <c r="A35" s="15" t="inlineStr">
        <is>
          <t>forbearancenumberofmonths</t>
        </is>
      </c>
      <c r="B35" s="6" t="inlineStr">
        <is>
          <t>—</t>
        </is>
      </c>
      <c r="C35" s="6" t="inlineStr">
        <is>
          <t>—</t>
        </is>
      </c>
      <c r="D35" s="6" t="inlineStr">
        <is>
          <t>3</t>
        </is>
      </c>
      <c r="E35" s="6" t="inlineStr">
        <is>
          <t>—</t>
        </is>
      </c>
      <c r="F35" s="6" t="inlineStr">
        <is>
          <t>—</t>
        </is>
      </c>
    </row>
    <row r="36">
      <c r="A36" s="15" t="inlineStr">
        <is>
          <t>forbearancestatus</t>
        </is>
      </c>
      <c r="B36" s="16" t="inlineStr">
        <is>
          <t>—</t>
        </is>
      </c>
      <c r="C36" s="16" t="inlineStr">
        <is>
          <t>—</t>
        </is>
      </c>
      <c r="D36" s="16" t="inlineStr">
        <is>
          <t>4</t>
        </is>
      </c>
      <c r="E36" s="16" t="inlineStr">
        <is>
          <t>—</t>
        </is>
      </c>
      <c r="F36" s="16" t="inlineStr">
        <is>
          <t>—</t>
        </is>
      </c>
    </row>
    <row r="37">
      <c r="A37" s="15" t="inlineStr">
        <is>
          <t>forbearancetype</t>
        </is>
      </c>
      <c r="B37" s="6" t="inlineStr">
        <is>
          <t>—</t>
        </is>
      </c>
      <c r="C37" s="6" t="inlineStr">
        <is>
          <t>—</t>
        </is>
      </c>
      <c r="D37" s="6" t="inlineStr">
        <is>
          <t>61</t>
        </is>
      </c>
      <c r="E37" s="6" t="inlineStr">
        <is>
          <t>—</t>
        </is>
      </c>
      <c r="F37" s="6" t="inlineStr">
        <is>
          <t>—</t>
        </is>
      </c>
    </row>
    <row r="38">
      <c r="A38" s="15" t="inlineStr">
        <is>
          <t>trialagreementdate</t>
        </is>
      </c>
      <c r="B38" s="16" t="inlineStr">
        <is>
          <t>—</t>
        </is>
      </c>
      <c r="C38" s="16" t="inlineStr">
        <is>
          <t>—</t>
        </is>
      </c>
      <c r="D38" s="16" t="inlineStr">
        <is>
          <t>—</t>
        </is>
      </c>
      <c r="E38" s="16" t="inlineStr">
        <is>
          <t>—</t>
        </is>
      </c>
      <c r="F38" s="16" t="inlineStr">
        <is>
          <t>—</t>
        </is>
      </c>
    </row>
    <row r="39">
      <c r="A39" s="15" t="inlineStr">
        <is>
          <t>trialdatecompleted</t>
        </is>
      </c>
      <c r="B39" s="6" t="inlineStr">
        <is>
          <t>—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</row>
    <row r="40">
      <c r="A40" s="15" t="inlineStr">
        <is>
          <t>trialbeginningduedate</t>
        </is>
      </c>
      <c r="B40" s="16" t="inlineStr">
        <is>
          <t>—</t>
        </is>
      </c>
      <c r="C40" s="16" t="inlineStr">
        <is>
          <t>—</t>
        </is>
      </c>
      <c r="D40" s="16" t="inlineStr">
        <is>
          <t>—</t>
        </is>
      </c>
      <c r="E40" s="16" t="inlineStr">
        <is>
          <t>—</t>
        </is>
      </c>
      <c r="F40" s="16" t="inlineStr">
        <is>
          <t>—</t>
        </is>
      </c>
    </row>
    <row r="41">
      <c r="A41" s="15" t="inlineStr">
        <is>
          <t>trialendingduedate</t>
        </is>
      </c>
      <c r="B41" s="6" t="inlineStr">
        <is>
          <t>—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</row>
    <row r="42">
      <c r="A42" s="15" t="inlineStr">
        <is>
          <t>trialnumberofmonths</t>
        </is>
      </c>
      <c r="B42" s="16" t="inlineStr">
        <is>
          <t>—</t>
        </is>
      </c>
      <c r="C42" s="16" t="inlineStr">
        <is>
          <t>—</t>
        </is>
      </c>
      <c r="D42" s="16" t="inlineStr">
        <is>
          <t>—</t>
        </is>
      </c>
      <c r="E42" s="16" t="inlineStr">
        <is>
          <t>—</t>
        </is>
      </c>
      <c r="F42" s="16" t="inlineStr">
        <is>
          <t>—</t>
        </is>
      </c>
    </row>
    <row r="43">
      <c r="A43" s="15" t="inlineStr">
        <is>
          <t>trialstatus</t>
        </is>
      </c>
      <c r="B43" s="6" t="inlineStr">
        <is>
          <t>—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</row>
    <row r="44">
      <c r="A44" s="15" t="inlineStr">
        <is>
          <t>repaymentagreementdate</t>
        </is>
      </c>
      <c r="B44" s="16" t="inlineStr">
        <is>
          <t>—</t>
        </is>
      </c>
      <c r="C44" s="16" t="inlineStr">
        <is>
          <t>2026-03-24</t>
        </is>
      </c>
      <c r="D44" s="16" t="inlineStr">
        <is>
          <t>—</t>
        </is>
      </c>
      <c r="E44" s="16" t="inlineStr">
        <is>
          <t>—</t>
        </is>
      </c>
      <c r="F44" s="16" t="inlineStr">
        <is>
          <t>—</t>
        </is>
      </c>
    </row>
    <row r="45">
      <c r="A45" s="15" t="inlineStr">
        <is>
          <t>repaymentstartdate</t>
        </is>
      </c>
      <c r="B45" s="6" t="inlineStr">
        <is>
          <t>—</t>
        </is>
      </c>
      <c r="C45" s="6" t="inlineStr">
        <is>
          <t>2026-05-01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</row>
    <row r="46">
      <c r="A46" s="15" t="inlineStr">
        <is>
          <t>repaymentenddate</t>
        </is>
      </c>
      <c r="B46" s="16" t="inlineStr">
        <is>
          <t>—</t>
        </is>
      </c>
      <c r="C46" s="16" t="inlineStr">
        <is>
          <t>2026-10-31</t>
        </is>
      </c>
      <c r="D46" s="16" t="inlineStr">
        <is>
          <t>—</t>
        </is>
      </c>
      <c r="E46" s="16" t="inlineStr">
        <is>
          <t>—</t>
        </is>
      </c>
      <c r="F46" s="16" t="inlineStr">
        <is>
          <t>—</t>
        </is>
      </c>
    </row>
    <row r="47">
      <c r="A47" s="15" t="inlineStr">
        <is>
          <t>repaymenttype</t>
        </is>
      </c>
      <c r="B47" s="6" t="inlineStr">
        <is>
          <t>—</t>
        </is>
      </c>
      <c r="C47" s="6" t="inlineStr">
        <is>
          <t>4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</row>
    <row r="48">
      <c r="A48" s="15" t="inlineStr">
        <is>
          <t>repaymentstatus</t>
        </is>
      </c>
      <c r="B48" s="16" t="inlineStr">
        <is>
          <t>—</t>
        </is>
      </c>
      <c r="C48" s="16" t="inlineStr">
        <is>
          <t>1</t>
        </is>
      </c>
      <c r="D48" s="16" t="inlineStr">
        <is>
          <t>—</t>
        </is>
      </c>
      <c r="E48" s="16" t="inlineStr">
        <is>
          <t>—</t>
        </is>
      </c>
      <c r="F48" s="16" t="inlineStr">
        <is>
          <t>—</t>
        </is>
      </c>
    </row>
    <row r="49">
      <c r="A49" s="15" t="inlineStr">
        <is>
          <t>repaymentplandownpmt</t>
        </is>
      </c>
      <c r="B49" s="6" t="inlineStr">
        <is>
          <t>—</t>
        </is>
      </c>
      <c r="C49" s="6" t="inlineStr">
        <is>
          <t>9000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</row>
    <row r="50">
      <c r="A50" s="15" t="inlineStr">
        <is>
          <t>repaymentplandownpmtdate</t>
        </is>
      </c>
      <c r="B50" s="16" t="inlineStr">
        <is>
          <t>—</t>
        </is>
      </c>
      <c r="C50" s="16" t="inlineStr">
        <is>
          <t>2026-04-24</t>
        </is>
      </c>
      <c r="D50" s="16" t="inlineStr">
        <is>
          <t>—</t>
        </is>
      </c>
      <c r="E50" s="16" t="inlineStr">
        <is>
          <t>—</t>
        </is>
      </c>
      <c r="F50" s="16" t="inlineStr">
        <is>
          <t>—</t>
        </is>
      </c>
    </row>
    <row r="51">
      <c r="A51" s="15" t="inlineStr">
        <is>
          <t>pradate1</t>
        </is>
      </c>
      <c r="B51" s="6" t="inlineStr">
        <is>
          <t>—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</row>
    <row r="52">
      <c r="A52" s="15" t="inlineStr">
        <is>
          <t>praamount1</t>
        </is>
      </c>
      <c r="B52" s="16" t="inlineStr">
        <is>
          <t>—</t>
        </is>
      </c>
      <c r="C52" s="16" t="inlineStr">
        <is>
          <t>—</t>
        </is>
      </c>
      <c r="D52" s="16" t="inlineStr">
        <is>
          <t>—</t>
        </is>
      </c>
      <c r="E52" s="16" t="inlineStr">
        <is>
          <t>—</t>
        </is>
      </c>
      <c r="F52" s="16" t="inlineStr">
        <is>
          <t>—</t>
        </is>
      </c>
    </row>
    <row r="53">
      <c r="A53" s="15" t="inlineStr">
        <is>
          <t>pradate2</t>
        </is>
      </c>
      <c r="B53" s="6" t="inlineStr">
        <is>
          <t>—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</row>
    <row r="54">
      <c r="A54" s="15" t="inlineStr">
        <is>
          <t>praamount2</t>
        </is>
      </c>
      <c r="B54" s="16" t="inlineStr">
        <is>
          <t>—</t>
        </is>
      </c>
      <c r="C54" s="16" t="inlineStr">
        <is>
          <t>—</t>
        </is>
      </c>
      <c r="D54" s="16" t="inlineStr">
        <is>
          <t>—</t>
        </is>
      </c>
      <c r="E54" s="16" t="inlineStr">
        <is>
          <t>—</t>
        </is>
      </c>
      <c r="F54" s="16" t="inlineStr">
        <is>
          <t>—</t>
        </is>
      </c>
    </row>
    <row r="55">
      <c r="A55" s="15" t="inlineStr">
        <is>
          <t>pradate3</t>
        </is>
      </c>
      <c r="B55" s="6" t="inlineStr">
        <is>
          <t>—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</row>
    <row r="56">
      <c r="A56" s="15" t="inlineStr">
        <is>
          <t>praamount3</t>
        </is>
      </c>
      <c r="B56" s="16" t="inlineStr">
        <is>
          <t>—</t>
        </is>
      </c>
      <c r="C56" s="16" t="inlineStr">
        <is>
          <t>—</t>
        </is>
      </c>
      <c r="D56" s="16" t="inlineStr">
        <is>
          <t>—</t>
        </is>
      </c>
      <c r="E56" s="16" t="inlineStr">
        <is>
          <t>—</t>
        </is>
      </c>
      <c r="F56" s="16" t="inlineStr">
        <is>
          <t>—</t>
        </is>
      </c>
    </row>
    <row r="57">
      <c r="A57" s="15" t="inlineStr">
        <is>
          <t>activelmflag</t>
        </is>
      </c>
      <c r="B57" s="6" t="inlineStr">
        <is>
          <t>0</t>
        </is>
      </c>
      <c r="C57" s="6" t="inlineStr">
        <is>
          <t>1</t>
        </is>
      </c>
      <c r="D57" s="6" t="inlineStr">
        <is>
          <t>0</t>
        </is>
      </c>
      <c r="E57" s="6" t="inlineStr">
        <is>
          <t>0</t>
        </is>
      </c>
      <c r="F57" s="6" t="inlineStr">
        <is>
          <t>0</t>
        </is>
      </c>
    </row>
    <row r="58">
      <c r="A58" s="15" t="inlineStr">
        <is>
          <t>create_time</t>
        </is>
      </c>
      <c r="B58" s="16" t="inlineStr">
        <is>
          <t>2026-06-05 19:38:36</t>
        </is>
      </c>
      <c r="C58" s="16" t="inlineStr">
        <is>
          <t>2026-06-05 19:38:36</t>
        </is>
      </c>
      <c r="D58" s="16" t="inlineStr">
        <is>
          <t>2026-06-05 19:38:36</t>
        </is>
      </c>
      <c r="E58" s="16" t="inlineStr">
        <is>
          <t>2026-06-05 19:38:36</t>
        </is>
      </c>
      <c r="F58" s="16" t="inlineStr">
        <is>
          <t>2026-06-05 19:38:36</t>
        </is>
      </c>
    </row>
    <row r="59">
      <c r="A59" s="15" t="inlineStr">
        <is>
          <t>update_time</t>
        </is>
      </c>
      <c r="B59" s="6" t="inlineStr">
        <is>
          <t>2026-06-05 19:38:36</t>
        </is>
      </c>
      <c r="C59" s="6" t="inlineStr">
        <is>
          <t>2026-06-05 19:38:36</t>
        </is>
      </c>
      <c r="D59" s="6" t="inlineStr">
        <is>
          <t>2026-06-05 19:38:36</t>
        </is>
      </c>
      <c r="E59" s="6" t="inlineStr">
        <is>
          <t>2026-06-05 19:38:36</t>
        </is>
      </c>
      <c r="F59" s="6" t="inlineStr">
        <is>
          <t>2026-06-05 19:38:36</t>
        </is>
      </c>
    </row>
    <row r="60">
      <c r="A60" s="15" t="inlineStr">
        <is>
          <t>lossmitmodtermsmodifiedtermextensionmonths</t>
        </is>
      </c>
      <c r="B60" s="16" t="inlineStr">
        <is>
          <t>—</t>
        </is>
      </c>
      <c r="C60" s="16" t="inlineStr">
        <is>
          <t>—</t>
        </is>
      </c>
      <c r="D60" s="16" t="inlineStr">
        <is>
          <t>—</t>
        </is>
      </c>
      <c r="E60" s="16" t="inlineStr">
        <is>
          <t>—</t>
        </is>
      </c>
      <c r="F60" s="16" t="inlineStr">
        <is>
          <t>—</t>
        </is>
      </c>
    </row>
    <row r="61">
      <c r="A61" s="15" t="inlineStr">
        <is>
          <t>deferment_flag</t>
        </is>
      </c>
      <c r="B61" s="6" t="inlineStr">
        <is>
          <t>—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</row>
    <row r="62">
      <c r="A62" s="15" t="inlineStr">
        <is>
          <t>deferment_amount</t>
        </is>
      </c>
      <c r="B62" s="16" t="inlineStr">
        <is>
          <t>—</t>
        </is>
      </c>
      <c r="C62" s="16" t="inlineStr">
        <is>
          <t>—</t>
        </is>
      </c>
      <c r="D62" s="16" t="inlineStr">
        <is>
          <t>—</t>
        </is>
      </c>
      <c r="E62" s="16" t="inlineStr">
        <is>
          <t>—</t>
        </is>
      </c>
      <c r="F62" s="16" t="inlineStr">
        <is>
          <t>—</t>
        </is>
      </c>
    </row>
    <row r="63">
      <c r="A63" s="15" t="inlineStr">
        <is>
          <t>number_pi_payments_deferred</t>
        </is>
      </c>
      <c r="B63" s="6" t="inlineStr">
        <is>
          <t>—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</row>
    <row r="64">
      <c r="A64" s="15" t="inlineStr">
        <is>
          <t>shortsalenetproceedsamount</t>
        </is>
      </c>
      <c r="B64" s="16" t="inlineStr">
        <is>
          <t>—</t>
        </is>
      </c>
      <c r="C64" s="16" t="inlineStr">
        <is>
          <t>—</t>
        </is>
      </c>
      <c r="D64" s="16" t="inlineStr">
        <is>
          <t>—</t>
        </is>
      </c>
      <c r="E64" s="16" t="inlineStr">
        <is>
          <t>—</t>
        </is>
      </c>
      <c r="F64" s="16" t="inlineStr">
        <is>
          <t>—</t>
        </is>
      </c>
    </row>
    <row r="65">
      <c r="A65" s="15" t="inlineStr">
        <is>
          <t>shortsalecontractofferamount</t>
        </is>
      </c>
      <c r="B65" s="6" t="inlineStr">
        <is>
          <t>—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</row>
    <row r="66">
      <c r="A66" s="15" t="inlineStr">
        <is>
          <t>appealperiodexpirationdate</t>
        </is>
      </c>
      <c r="B66" s="16" t="inlineStr">
        <is>
          <t>—</t>
        </is>
      </c>
      <c r="C66" s="16" t="inlineStr">
        <is>
          <t>—</t>
        </is>
      </c>
      <c r="D66" s="16" t="inlineStr">
        <is>
          <t>—</t>
        </is>
      </c>
      <c r="E66" s="16" t="inlineStr">
        <is>
          <t>—</t>
        </is>
      </c>
      <c r="F66" s="16" t="inlineStr">
        <is>
          <t>2026-05-11</t>
        </is>
      </c>
    </row>
    <row r="67">
      <c r="A67" s="15" t="inlineStr">
        <is>
          <t>lossmitmodpreviouslydeferredcapitalizedamount</t>
        </is>
      </c>
      <c r="B67" s="6" t="inlineStr">
        <is>
          <t>—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</row>
    <row r="68">
      <c r="A68" s="15" t="inlineStr">
        <is>
          <t>deferment_date</t>
        </is>
      </c>
      <c r="B68" s="16" t="inlineStr">
        <is>
          <t>—</t>
        </is>
      </c>
      <c r="C68" s="16" t="inlineStr">
        <is>
          <t>—</t>
        </is>
      </c>
      <c r="D68" s="16" t="inlineStr">
        <is>
          <t>—</t>
        </is>
      </c>
      <c r="E68" s="16" t="inlineStr">
        <is>
          <t>—</t>
        </is>
      </c>
      <c r="F68" s="16" t="inlineStr">
        <is>
          <t>—</t>
        </is>
      </c>
    </row>
    <row r="69">
      <c r="A69" s="15" t="inlineStr">
        <is>
          <t>denialletterdate</t>
        </is>
      </c>
      <c r="B69" s="6" t="inlineStr">
        <is>
          <t>2026-04-23</t>
        </is>
      </c>
      <c r="C69" s="6" t="inlineStr">
        <is>
          <t>2025-08-12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2026-04-27</t>
        </is>
      </c>
    </row>
    <row r="70">
      <c r="A70" s="15" t="inlineStr">
        <is>
          <t>investorloanid</t>
        </is>
      </c>
      <c r="B70" s="16" t="inlineStr">
        <is>
          <t>7727000088</t>
        </is>
      </c>
      <c r="C70" s="16" t="inlineStr">
        <is>
          <t>7727000672</t>
        </is>
      </c>
      <c r="D70" s="16" t="inlineStr">
        <is>
          <t>7727004200</t>
        </is>
      </c>
      <c r="E70" s="16" t="inlineStr">
        <is>
          <t>7727000065</t>
        </is>
      </c>
      <c r="F70" s="16" t="inlineStr">
        <is>
          <t>7727000010</t>
        </is>
      </c>
    </row>
  </sheetData>
  <mergeCells count="13">
    <mergeCell ref="A2:F2"/>
    <mergeCell ref="A11:F11"/>
    <mergeCell ref="A10:F10"/>
    <mergeCell ref="A13:F13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4" t="inlineStr">
        <is>
          <t>newrez.portnewrezgeneral — 通用源表（legalstatus / delinquency_status_mba 等）</t>
        </is>
      </c>
    </row>
    <row r="2">
      <c r="A2" s="13" t="inlineStr">
        <is>
          <t>全 125 字段 · 取数口径：dataasof=MAX(每贷款) · 命中 5/5 贷款（无行的贷款列显示 —） · prod 实测 2026-06-04 · 业务日 2026-06-01</t>
        </is>
      </c>
    </row>
    <row r="3" ht="56" customHeight="1">
      <c r="A3" s="14" t="inlineStr">
        <is>
          <t>查询 SQL（prod 只读）：
-- newrez.portnewrezgeneral · mysql_prod(只读) · 每贷款 dataasof=MAX(最新快照) · 业务日 2026-06-01
SELECT t.* FROM newrez.portnewrezgeneral t JOIN (SELECT loanid, MAX(dataasof) AS _md FROM newrez.portnewrezgeneral WHERE loanid IN ('7727000088','7727000672','7727004200','7727000065','7727000010') GROUP BY loanid) m ON t.loanid=m.loanid AND t.dataasof=m._md;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60" customHeight="1">
      <c r="A5" s="36" t="inlineStr">
        <is>
          <t>业务含义/目的：Newrez 通用源表(125 列)，含 legalstatus、delinquency_status_mba(MBA 逾期分类)、nextduedate 等账户层属性。 逾期(delinquency)支线的源头；提供 delq_status 原值。</t>
        </is>
      </c>
    </row>
    <row r="6" ht="18" customHeight="1">
      <c r="A6" s="36" t="inlineStr">
        <is>
          <t>何时来查：查某贷款原始逾期分类/法律状态/下次到期日。</t>
        </is>
      </c>
    </row>
    <row r="7" ht="45" customHeight="1">
      <c r="A7" s="36" t="inlineStr">
        <is>
          <t>为什么这样处理：逾期与 FCL 是两条支线——逾期来自 general 表经 days360 归一，FCL 来自 portnewrezfc 显式标志；二者在 L4 汇合。FCL 码绝不由 days360 推导。</t>
        </is>
      </c>
    </row>
    <row r="8" ht="18" customHeight="1">
      <c r="A8" s="36" t="inlineStr">
        <is>
          <t>数据粒度：1 行/贷款/dataasof。</t>
        </is>
      </c>
    </row>
    <row r="9" ht="30" customHeight="1">
      <c r="A9" s="36" t="inlineStr">
        <is>
          <t>上游链路：Servicer 文件(S3, L0) → newrez.portnewrezgeneral</t>
        </is>
      </c>
    </row>
    <row r="10" ht="18" customHeight="1">
      <c r="A10" s="36" t="inlineStr">
        <is>
          <t>全部上游表：Servicer 文件(S3, L0)</t>
        </is>
      </c>
    </row>
    <row r="11" ht="140" customHeight="1">
      <c r="A11" s="36" t="inlineStr">
        <is>
          <t>下游链路：portnewrezgeneral.delinquency_status_mba → port.portdaily_v2〔portdaily_config.py〕 → port.basic_data_daily_loan_common.delq_status(逾期支线 L2，daily_data_loan_common_config.py) → port.basic_data_daily_loan_common_clean.delinq(L3，daily_data_loan_common_clean_config.py，CASE+days360) → { port.basic_data_fcl_related.delq_status / port.fcl_stage_info.group / port.portmonthbase } → BPS</t>
        </is>
      </c>
    </row>
    <row r="12" ht="75" customHeight="1">
      <c r="A12" s="36" t="inlineStr">
        <is>
          <t>全部下游表：port.portdaily_v2、port.basic_data_daily_loan_common、port.basic_data_daily_loan_common_clean、port.basic_data_fcl_related、port.fcl_stage_info、port.portmonthbase、bpms.sync_fcl_stage_info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5" t="inlineStr">
        <is>
          <t>字段</t>
        </is>
      </c>
      <c r="B14" s="5" t="inlineStr">
        <is>
          <t>7727000088</t>
        </is>
      </c>
      <c r="C14" s="5" t="inlineStr">
        <is>
          <t>7727000672</t>
        </is>
      </c>
      <c r="D14" s="5" t="inlineStr">
        <is>
          <t>7727004200</t>
        </is>
      </c>
      <c r="E14" s="5" t="inlineStr">
        <is>
          <t>7727000065</t>
        </is>
      </c>
      <c r="F14" s="5" t="inlineStr">
        <is>
          <t>7727000010</t>
        </is>
      </c>
    </row>
    <row r="15">
      <c r="A15" s="15" t="inlineStr">
        <is>
          <t>id</t>
        </is>
      </c>
      <c r="B15" s="6" t="inlineStr">
        <is>
          <t>1749124</t>
        </is>
      </c>
      <c r="C15" s="6" t="inlineStr">
        <is>
          <t>1748683</t>
        </is>
      </c>
      <c r="D15" s="6" t="inlineStr">
        <is>
          <t>1750268</t>
        </is>
      </c>
      <c r="E15" s="6" t="inlineStr">
        <is>
          <t>1749145</t>
        </is>
      </c>
      <c r="F15" s="6" t="inlineStr">
        <is>
          <t>1749138</t>
        </is>
      </c>
    </row>
    <row r="16">
      <c r="A16" s="15" t="inlineStr">
        <is>
          <t>loanid</t>
        </is>
      </c>
      <c r="B16" s="16" t="inlineStr">
        <is>
          <t>7727000088</t>
        </is>
      </c>
      <c r="C16" s="16" t="inlineStr">
        <is>
          <t>7727000672</t>
        </is>
      </c>
      <c r="D16" s="16" t="inlineStr">
        <is>
          <t>7727004200</t>
        </is>
      </c>
      <c r="E16" s="16" t="inlineStr">
        <is>
          <t>7727000065</t>
        </is>
      </c>
      <c r="F16" s="16" t="inlineStr">
        <is>
          <t>7727000010</t>
        </is>
      </c>
    </row>
    <row r="17">
      <c r="A17" s="15" t="inlineStr">
        <is>
          <t>dataasof</t>
        </is>
      </c>
      <c r="B17" s="6" t="inlineStr">
        <is>
          <t>2026-06-04</t>
        </is>
      </c>
      <c r="C17" s="6" t="inlineStr">
        <is>
          <t>2026-06-04</t>
        </is>
      </c>
      <c r="D17" s="6" t="inlineStr">
        <is>
          <t>2026-06-04</t>
        </is>
      </c>
      <c r="E17" s="6" t="inlineStr">
        <is>
          <t>2026-06-04</t>
        </is>
      </c>
      <c r="F17" s="6" t="inlineStr">
        <is>
          <t>2026-06-04</t>
        </is>
      </c>
    </row>
    <row r="18">
      <c r="A18" s="15" t="inlineStr">
        <is>
          <t>shellpointloanid</t>
        </is>
      </c>
      <c r="B18" s="16" t="inlineStr">
        <is>
          <t>1031718838</t>
        </is>
      </c>
      <c r="C18" s="16" t="inlineStr">
        <is>
          <t>1032761570</t>
        </is>
      </c>
      <c r="D18" s="16" t="inlineStr">
        <is>
          <t>0688132141</t>
        </is>
      </c>
      <c r="E18" s="16" t="inlineStr">
        <is>
          <t>1031718621</t>
        </is>
      </c>
      <c r="F18" s="16" t="inlineStr">
        <is>
          <t>1031718692</t>
        </is>
      </c>
    </row>
    <row r="19">
      <c r="A19" s="15" t="inlineStr">
        <is>
          <t>investorid</t>
        </is>
      </c>
      <c r="B19" s="6" t="inlineStr">
        <is>
          <t>BI2726</t>
        </is>
      </c>
      <c r="C19" s="6" t="inlineStr">
        <is>
          <t>BI2725</t>
        </is>
      </c>
      <c r="D19" s="6" t="inlineStr">
        <is>
          <t>BIRTT1</t>
        </is>
      </c>
      <c r="E19" s="6" t="inlineStr">
        <is>
          <t>TT1REO</t>
        </is>
      </c>
      <c r="F19" s="6" t="inlineStr">
        <is>
          <t>BI2726</t>
        </is>
      </c>
    </row>
    <row r="20">
      <c r="A20" s="15" t="inlineStr">
        <is>
          <t>investorloanid</t>
        </is>
      </c>
      <c r="B20" s="16" t="inlineStr">
        <is>
          <t>7727000088</t>
        </is>
      </c>
      <c r="C20" s="16" t="inlineStr">
        <is>
          <t>7727000672</t>
        </is>
      </c>
      <c r="D20" s="16" t="inlineStr">
        <is>
          <t>7727004200</t>
        </is>
      </c>
      <c r="E20" s="16" t="inlineStr">
        <is>
          <t>7727000065</t>
        </is>
      </c>
      <c r="F20" s="16" t="inlineStr">
        <is>
          <t>7727000010</t>
        </is>
      </c>
    </row>
    <row r="21">
      <c r="A21" s="15" t="inlineStr">
        <is>
          <t>priorservicerloannumber</t>
        </is>
      </c>
      <c r="B21" s="6" t="inlineStr">
        <is>
          <t>9010021155</t>
        </is>
      </c>
      <c r="C21" s="6" t="inlineStr">
        <is>
          <t>32288235</t>
        </is>
      </c>
      <c r="D21" s="6" t="inlineStr">
        <is>
          <t>3260057082</t>
        </is>
      </c>
      <c r="E21" s="6" t="inlineStr">
        <is>
          <t>9014327961</t>
        </is>
      </c>
      <c r="F21" s="6" t="inlineStr">
        <is>
          <t>9014059868</t>
        </is>
      </c>
    </row>
    <row r="22">
      <c r="A22" s="15" t="inlineStr">
        <is>
          <t>boarddate</t>
        </is>
      </c>
      <c r="B22" s="16" t="inlineStr">
        <is>
          <t>2024-07-04</t>
        </is>
      </c>
      <c r="C22" s="16" t="inlineStr">
        <is>
          <t>2024-07-04</t>
        </is>
      </c>
      <c r="D22" s="16" t="inlineStr">
        <is>
          <t>2024-02-07</t>
        </is>
      </c>
      <c r="E22" s="16" t="inlineStr">
        <is>
          <t>2024-07-04</t>
        </is>
      </c>
      <c r="F22" s="16" t="inlineStr">
        <is>
          <t>2024-07-04</t>
        </is>
      </c>
    </row>
    <row r="23">
      <c r="A23" s="15" t="inlineStr">
        <is>
          <t>acquisitiondate</t>
        </is>
      </c>
      <c r="B23" s="6" t="inlineStr">
        <is>
          <t>2024-07-02</t>
        </is>
      </c>
      <c r="C23" s="6" t="inlineStr">
        <is>
          <t>2024-07-02</t>
        </is>
      </c>
      <c r="D23" s="6" t="inlineStr">
        <is>
          <t>2024-02-01</t>
        </is>
      </c>
      <c r="E23" s="6" t="inlineStr">
        <is>
          <t>2024-07-02</t>
        </is>
      </c>
      <c r="F23" s="6" t="inlineStr">
        <is>
          <t>2024-07-02</t>
        </is>
      </c>
    </row>
    <row r="24">
      <c r="A24" s="15" t="inlineStr">
        <is>
          <t>acquisitionbalance</t>
        </is>
      </c>
      <c r="B24" s="16" t="inlineStr">
        <is>
          <t>318856.09</t>
        </is>
      </c>
      <c r="C24" s="16" t="inlineStr">
        <is>
          <t>421270.39</t>
        </is>
      </c>
      <c r="D24" s="16" t="inlineStr">
        <is>
          <t>455612.06</t>
        </is>
      </c>
      <c r="E24" s="16" t="inlineStr">
        <is>
          <t>470399.51</t>
        </is>
      </c>
      <c r="F24" s="16" t="inlineStr">
        <is>
          <t>271997.47</t>
        </is>
      </c>
    </row>
    <row r="25">
      <c r="A25" s="15" t="inlineStr">
        <is>
          <t>mbadelinquency</t>
        </is>
      </c>
      <c r="B25" s="6" t="inlineStr">
        <is>
          <t>14</t>
        </is>
      </c>
      <c r="C25" s="6" t="inlineStr">
        <is>
          <t>6</t>
        </is>
      </c>
      <c r="D25" s="6" t="inlineStr">
        <is>
          <t>15</t>
        </is>
      </c>
      <c r="E25" s="6" t="inlineStr">
        <is>
          <t>14</t>
        </is>
      </c>
      <c r="F25" s="6" t="inlineStr">
        <is>
          <t>9</t>
        </is>
      </c>
    </row>
    <row r="26">
      <c r="A26" s="15" t="inlineStr">
        <is>
          <t>delinqstatatboarding</t>
        </is>
      </c>
      <c r="B26" s="16" t="inlineStr">
        <is>
          <t>3</t>
        </is>
      </c>
      <c r="C26" s="16" t="inlineStr">
        <is>
          <t>4</t>
        </is>
      </c>
      <c r="D26" s="16" t="inlineStr">
        <is>
          <t>3</t>
        </is>
      </c>
      <c r="E26" s="16" t="inlineStr">
        <is>
          <t>6</t>
        </is>
      </c>
      <c r="F26" s="16" t="inlineStr">
        <is>
          <t>10</t>
        </is>
      </c>
    </row>
    <row r="27">
      <c r="A27" s="15" t="inlineStr">
        <is>
          <t>lienposition</t>
        </is>
      </c>
      <c r="B27" s="6" t="inlineStr">
        <is>
          <t>1</t>
        </is>
      </c>
      <c r="C27" s="6" t="inlineStr">
        <is>
          <t>1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</row>
    <row r="28">
      <c r="A28" s="15" t="inlineStr">
        <is>
          <t>loantype</t>
        </is>
      </c>
      <c r="B28" s="16" t="inlineStr">
        <is>
          <t>0</t>
        </is>
      </c>
      <c r="C28" s="16" t="inlineStr">
        <is>
          <t>0</t>
        </is>
      </c>
      <c r="D28" s="16" t="inlineStr">
        <is>
          <t>0</t>
        </is>
      </c>
      <c r="E28" s="16" t="inlineStr">
        <is>
          <t>2</t>
        </is>
      </c>
      <c r="F28" s="16" t="inlineStr">
        <is>
          <t>2</t>
        </is>
      </c>
    </row>
    <row r="29">
      <c r="A29" s="15" t="inlineStr">
        <is>
          <t>loanpurpose</t>
        </is>
      </c>
      <c r="B29" s="6" t="inlineStr">
        <is>
          <t>1</t>
        </is>
      </c>
      <c r="C29" s="6" t="inlineStr">
        <is>
          <t>1</t>
        </is>
      </c>
      <c r="D29" s="6" t="inlineStr">
        <is>
          <t>1</t>
        </is>
      </c>
      <c r="E29" s="6" t="inlineStr">
        <is>
          <t>3</t>
        </is>
      </c>
      <c r="F29" s="6" t="inlineStr">
        <is>
          <t>3</t>
        </is>
      </c>
    </row>
    <row r="30">
      <c r="A30" s="15" t="inlineStr">
        <is>
          <t>documentationtype</t>
        </is>
      </c>
      <c r="B30" s="16" t="inlineStr">
        <is>
          <t>0</t>
        </is>
      </c>
      <c r="C30" s="16" t="inlineStr">
        <is>
          <t>0</t>
        </is>
      </c>
      <c r="D30" s="16" t="inlineStr">
        <is>
          <t>0</t>
        </is>
      </c>
      <c r="E30" s="16" t="inlineStr">
        <is>
          <t>0</t>
        </is>
      </c>
      <c r="F30" s="16" t="inlineStr">
        <is>
          <t>0</t>
        </is>
      </c>
    </row>
    <row r="31">
      <c r="A31" s="15" t="inlineStr">
        <is>
          <t>dateinactive</t>
        </is>
      </c>
      <c r="B31" s="6" t="inlineStr">
        <is>
          <t>—</t>
        </is>
      </c>
      <c r="C31" s="6" t="inlineStr">
        <is>
          <t>—</t>
        </is>
      </c>
      <c r="D31" s="6" t="inlineStr">
        <is>
          <t>2026-04-16</t>
        </is>
      </c>
      <c r="E31" s="6" t="inlineStr">
        <is>
          <t>—</t>
        </is>
      </c>
      <c r="F31" s="6" t="inlineStr">
        <is>
          <t>—</t>
        </is>
      </c>
    </row>
    <row r="32">
      <c r="A32" s="15" t="inlineStr">
        <is>
          <t>currentinterestrate</t>
        </is>
      </c>
      <c r="B32" s="16" t="inlineStr">
        <is>
          <t>0.06625</t>
        </is>
      </c>
      <c r="C32" s="16" t="inlineStr">
        <is>
          <t>0.09875</t>
        </is>
      </c>
      <c r="D32" s="16" t="inlineStr">
        <is>
          <t>0.0275</t>
        </is>
      </c>
      <c r="E32" s="16" t="inlineStr">
        <is>
          <t>0.0425</t>
        </is>
      </c>
      <c r="F32" s="16" t="inlineStr">
        <is>
          <t>0.03625</t>
        </is>
      </c>
    </row>
    <row r="33">
      <c r="A33" s="15" t="inlineStr">
        <is>
          <t>originalterm</t>
        </is>
      </c>
      <c r="B33" s="6" t="inlineStr">
        <is>
          <t>360</t>
        </is>
      </c>
      <c r="C33" s="6" t="inlineStr">
        <is>
          <t>360</t>
        </is>
      </c>
      <c r="D33" s="6" t="inlineStr">
        <is>
          <t>360</t>
        </is>
      </c>
      <c r="E33" s="6" t="inlineStr">
        <is>
          <t>360</t>
        </is>
      </c>
      <c r="F33" s="6" t="inlineStr">
        <is>
          <t>360</t>
        </is>
      </c>
    </row>
    <row r="34">
      <c r="A34" s="15" t="inlineStr">
        <is>
          <t>originalnotedate</t>
        </is>
      </c>
      <c r="B34" s="16" t="inlineStr">
        <is>
          <t>2022-09-20</t>
        </is>
      </c>
      <c r="C34" s="16" t="inlineStr">
        <is>
          <t>2022-09-15</t>
        </is>
      </c>
      <c r="D34" s="16" t="inlineStr">
        <is>
          <t>2017-05-16</t>
        </is>
      </c>
      <c r="E34" s="16" t="inlineStr">
        <is>
          <t>2022-05-24</t>
        </is>
      </c>
      <c r="F34" s="16" t="inlineStr">
        <is>
          <t>2022-02-17</t>
        </is>
      </c>
    </row>
    <row r="35">
      <c r="A35" s="15" t="inlineStr">
        <is>
          <t>originalmaturitydate</t>
        </is>
      </c>
      <c r="B35" s="6" t="inlineStr">
        <is>
          <t>2052-10-01</t>
        </is>
      </c>
      <c r="C35" s="6" t="inlineStr">
        <is>
          <t>2052-10-01</t>
        </is>
      </c>
      <c r="D35" s="6" t="inlineStr">
        <is>
          <t>2047-06-01</t>
        </is>
      </c>
      <c r="E35" s="6" t="inlineStr">
        <is>
          <t>2052-06-01</t>
        </is>
      </c>
      <c r="F35" s="6" t="inlineStr">
        <is>
          <t>2052-03-01</t>
        </is>
      </c>
    </row>
    <row r="36">
      <c r="A36" s="15" t="inlineStr">
        <is>
          <t>originalamt</t>
        </is>
      </c>
      <c r="B36" s="16" t="inlineStr">
        <is>
          <t>324900</t>
        </is>
      </c>
      <c r="C36" s="16" t="inlineStr">
        <is>
          <t>425000</t>
        </is>
      </c>
      <c r="D36" s="16" t="inlineStr">
        <is>
          <t>532000</t>
        </is>
      </c>
      <c r="E36" s="16" t="inlineStr">
        <is>
          <t>484200</t>
        </is>
      </c>
      <c r="F36" s="16" t="inlineStr">
        <is>
          <t>282335</t>
        </is>
      </c>
    </row>
    <row r="37">
      <c r="A37" s="15" t="inlineStr">
        <is>
          <t>currentmaturitydate</t>
        </is>
      </c>
      <c r="B37" s="6" t="inlineStr">
        <is>
          <t>2052-10-01</t>
        </is>
      </c>
      <c r="C37" s="6" t="inlineStr">
        <is>
          <t>2052-10-01</t>
        </is>
      </c>
      <c r="D37" s="6" t="inlineStr">
        <is>
          <t>2047-06-01</t>
        </is>
      </c>
      <c r="E37" s="6" t="inlineStr">
        <is>
          <t>2052-06-01</t>
        </is>
      </c>
      <c r="F37" s="6" t="inlineStr">
        <is>
          <t>2052-03-01</t>
        </is>
      </c>
    </row>
    <row r="38">
      <c r="A38" s="15" t="inlineStr">
        <is>
          <t>amortizationterm</t>
        </is>
      </c>
      <c r="B38" s="16" t="inlineStr">
        <is>
          <t>360</t>
        </is>
      </c>
      <c r="C38" s="16" t="inlineStr">
        <is>
          <t>360</t>
        </is>
      </c>
      <c r="D38" s="16" t="inlineStr">
        <is>
          <t>360</t>
        </is>
      </c>
      <c r="E38" s="16" t="inlineStr">
        <is>
          <t>360</t>
        </is>
      </c>
      <c r="F38" s="16" t="inlineStr">
        <is>
          <t>360</t>
        </is>
      </c>
    </row>
    <row r="39">
      <c r="A39" s="15" t="inlineStr">
        <is>
          <t>remainingterm</t>
        </is>
      </c>
      <c r="B39" s="6" t="inlineStr">
        <is>
          <t>334</t>
        </is>
      </c>
      <c r="C39" s="6" t="inlineStr">
        <is>
          <t>321</t>
        </is>
      </c>
      <c r="D39" s="6" t="inlineStr">
        <is>
          <t>0</t>
        </is>
      </c>
      <c r="E39" s="6" t="inlineStr">
        <is>
          <t>340</t>
        </is>
      </c>
      <c r="F39" s="6" t="inlineStr">
        <is>
          <t>312</t>
        </is>
      </c>
    </row>
    <row r="40">
      <c r="A40" s="15" t="inlineStr">
        <is>
          <t>otherliens</t>
        </is>
      </c>
      <c r="B40" s="16" t="inlineStr">
        <is>
          <t>—</t>
        </is>
      </c>
      <c r="C40" s="16" t="inlineStr">
        <is>
          <t>—</t>
        </is>
      </c>
      <c r="D40" s="16" t="inlineStr">
        <is>
          <t>—</t>
        </is>
      </c>
      <c r="E40" s="16" t="inlineStr">
        <is>
          <t>—</t>
        </is>
      </c>
      <c r="F40" s="16" t="inlineStr">
        <is>
          <t>—</t>
        </is>
      </c>
    </row>
    <row r="41">
      <c r="A41" s="15" t="inlineStr">
        <is>
          <t>otherliensbalance</t>
        </is>
      </c>
      <c r="B41" s="6" t="inlineStr">
        <is>
          <t>—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</row>
    <row r="42">
      <c r="A42" s="15" t="inlineStr">
        <is>
          <t>legalstatus</t>
        </is>
      </c>
      <c r="B42" s="16" t="inlineStr">
        <is>
          <t>REO</t>
        </is>
      </c>
      <c r="C42" s="16" t="inlineStr">
        <is>
          <t>—</t>
        </is>
      </c>
      <c r="D42" s="16" t="inlineStr">
        <is>
          <t>FCBU</t>
        </is>
      </c>
      <c r="E42" s="16" t="inlineStr">
        <is>
          <t>REO</t>
        </is>
      </c>
      <c r="F42" s="16" t="inlineStr">
        <is>
          <t>BK13</t>
        </is>
      </c>
    </row>
    <row r="43">
      <c r="A43" s="15" t="inlineStr">
        <is>
          <t>warningstatus</t>
        </is>
      </c>
      <c r="B43" s="6" t="inlineStr">
        <is>
          <t>—</t>
        </is>
      </c>
      <c r="C43" s="6" t="inlineStr">
        <is>
          <t>—</t>
        </is>
      </c>
      <c r="D43" s="6" t="inlineStr">
        <is>
          <t>AttyCons</t>
        </is>
      </c>
      <c r="E43" s="6" t="inlineStr">
        <is>
          <t>ICC-REO</t>
        </is>
      </c>
      <c r="F43" s="6" t="inlineStr">
        <is>
          <t>—</t>
        </is>
      </c>
    </row>
    <row r="44">
      <c r="A44" s="15" t="inlineStr">
        <is>
          <t>isattorneyrepresented</t>
        </is>
      </c>
      <c r="B44" s="16" t="inlineStr">
        <is>
          <t>0</t>
        </is>
      </c>
      <c r="C44" s="16" t="inlineStr">
        <is>
          <t>0</t>
        </is>
      </c>
      <c r="D44" s="16" t="inlineStr">
        <is>
          <t>0</t>
        </is>
      </c>
      <c r="E44" s="16" t="inlineStr">
        <is>
          <t>0</t>
        </is>
      </c>
      <c r="F44" s="16" t="inlineStr">
        <is>
          <t>0</t>
        </is>
      </c>
    </row>
    <row r="45">
      <c r="A45" s="15" t="inlineStr">
        <is>
          <t>issoldiersandsailors</t>
        </is>
      </c>
      <c r="B45" s="6" t="inlineStr">
        <is>
          <t>0</t>
        </is>
      </c>
      <c r="C45" s="6" t="inlineStr">
        <is>
          <t>0</t>
        </is>
      </c>
      <c r="D45" s="6" t="inlineStr">
        <is>
          <t>0</t>
        </is>
      </c>
      <c r="E45" s="6" t="inlineStr">
        <is>
          <t>0</t>
        </is>
      </c>
      <c r="F45" s="6" t="inlineStr">
        <is>
          <t>0</t>
        </is>
      </c>
    </row>
    <row r="46">
      <c r="A46" s="15" t="inlineStr">
        <is>
          <t>isloanlitigated</t>
        </is>
      </c>
      <c r="B46" s="16" t="inlineStr">
        <is>
          <t>0</t>
        </is>
      </c>
      <c r="C46" s="16" t="inlineStr">
        <is>
          <t>0</t>
        </is>
      </c>
      <c r="D46" s="16" t="inlineStr">
        <is>
          <t>0</t>
        </is>
      </c>
      <c r="E46" s="16" t="inlineStr">
        <is>
          <t>0</t>
        </is>
      </c>
      <c r="F46" s="16" t="inlineStr">
        <is>
          <t>0</t>
        </is>
      </c>
    </row>
    <row r="47">
      <c r="A47" s="15" t="inlineStr">
        <is>
          <t>isescrowed</t>
        </is>
      </c>
      <c r="B47" s="6" t="inlineStr">
        <is>
          <t>1</t>
        </is>
      </c>
      <c r="C47" s="6" t="inlineStr">
        <is>
          <t>1</t>
        </is>
      </c>
      <c r="D47" s="6" t="inlineStr">
        <is>
          <t>1</t>
        </is>
      </c>
      <c r="E47" s="6" t="inlineStr">
        <is>
          <t>1</t>
        </is>
      </c>
      <c r="F47" s="6" t="inlineStr">
        <is>
          <t>1</t>
        </is>
      </c>
    </row>
    <row r="48">
      <c r="A48" s="15" t="inlineStr">
        <is>
          <t>femaarea</t>
        </is>
      </c>
      <c r="B48" s="16" t="inlineStr">
        <is>
          <t>0</t>
        </is>
      </c>
      <c r="C48" s="16" t="inlineStr">
        <is>
          <t>0</t>
        </is>
      </c>
      <c r="D48" s="16" t="inlineStr">
        <is>
          <t>0</t>
        </is>
      </c>
      <c r="E48" s="16" t="inlineStr">
        <is>
          <t>0</t>
        </is>
      </c>
      <c r="F48" s="16" t="inlineStr">
        <is>
          <t>0</t>
        </is>
      </c>
    </row>
    <row r="49">
      <c r="A49" s="15" t="inlineStr">
        <is>
          <t>femaaffect</t>
        </is>
      </c>
      <c r="B49" s="6" t="inlineStr">
        <is>
          <t>0</t>
        </is>
      </c>
      <c r="C49" s="6" t="inlineStr">
        <is>
          <t>0</t>
        </is>
      </c>
      <c r="D49" s="6" t="inlineStr">
        <is>
          <t>0</t>
        </is>
      </c>
      <c r="E49" s="6" t="inlineStr">
        <is>
          <t>0</t>
        </is>
      </c>
      <c r="F49" s="6" t="inlineStr">
        <is>
          <t>0</t>
        </is>
      </c>
    </row>
    <row r="50">
      <c r="A50" s="15" t="inlineStr">
        <is>
          <t>balloonflag</t>
        </is>
      </c>
      <c r="B50" s="16" t="inlineStr">
        <is>
          <t>0</t>
        </is>
      </c>
      <c r="C50" s="16" t="inlineStr">
        <is>
          <t>0</t>
        </is>
      </c>
      <c r="D50" s="16" t="inlineStr">
        <is>
          <t>0</t>
        </is>
      </c>
      <c r="E50" s="16" t="inlineStr">
        <is>
          <t>0</t>
        </is>
      </c>
      <c r="F50" s="16" t="inlineStr">
        <is>
          <t>0</t>
        </is>
      </c>
    </row>
    <row r="51">
      <c r="A51" s="15" t="inlineStr">
        <is>
          <t>balloondate</t>
        </is>
      </c>
      <c r="B51" s="6" t="inlineStr">
        <is>
          <t>—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</row>
    <row r="52">
      <c r="A52" s="15" t="inlineStr">
        <is>
          <t>prepaymentpenaltyflag</t>
        </is>
      </c>
      <c r="B52" s="16" t="inlineStr">
        <is>
          <t>0</t>
        </is>
      </c>
      <c r="C52" s="16" t="inlineStr">
        <is>
          <t>0</t>
        </is>
      </c>
      <c r="D52" s="16" t="inlineStr">
        <is>
          <t>0</t>
        </is>
      </c>
      <c r="E52" s="16" t="inlineStr">
        <is>
          <t>0</t>
        </is>
      </c>
      <c r="F52" s="16" t="inlineStr">
        <is>
          <t>0</t>
        </is>
      </c>
    </row>
    <row r="53">
      <c r="A53" s="15" t="inlineStr">
        <is>
          <t>prepaymentpenaltyterm</t>
        </is>
      </c>
      <c r="B53" s="6" t="inlineStr">
        <is>
          <t>0</t>
        </is>
      </c>
      <c r="C53" s="6" t="inlineStr">
        <is>
          <t>0</t>
        </is>
      </c>
      <c r="D53" s="6" t="inlineStr">
        <is>
          <t>0</t>
        </is>
      </c>
      <c r="E53" s="6" t="inlineStr">
        <is>
          <t>0</t>
        </is>
      </c>
      <c r="F53" s="6" t="inlineStr">
        <is>
          <t>0</t>
        </is>
      </c>
    </row>
    <row r="54">
      <c r="A54" s="15" t="inlineStr">
        <is>
          <t>prepaymentpenaltyfee</t>
        </is>
      </c>
      <c r="B54" s="16" t="inlineStr">
        <is>
          <t>0</t>
        </is>
      </c>
      <c r="C54" s="16" t="inlineStr">
        <is>
          <t>0</t>
        </is>
      </c>
      <c r="D54" s="16" t="inlineStr">
        <is>
          <t>0</t>
        </is>
      </c>
      <c r="E54" s="16" t="inlineStr">
        <is>
          <t>0</t>
        </is>
      </c>
      <c r="F54" s="16" t="inlineStr">
        <is>
          <t>0</t>
        </is>
      </c>
    </row>
    <row r="55">
      <c r="A55" s="15" t="inlineStr">
        <is>
          <t>chargeoff</t>
        </is>
      </c>
      <c r="B55" s="6" t="inlineStr">
        <is>
          <t>0</t>
        </is>
      </c>
      <c r="C55" s="6" t="inlineStr">
        <is>
          <t>0</t>
        </is>
      </c>
      <c r="D55" s="6" t="inlineStr">
        <is>
          <t>0</t>
        </is>
      </c>
      <c r="E55" s="6" t="inlineStr">
        <is>
          <t>0</t>
        </is>
      </c>
      <c r="F55" s="6" t="inlineStr">
        <is>
          <t>0</t>
        </is>
      </c>
    </row>
    <row r="56">
      <c r="A56" s="15" t="inlineStr">
        <is>
          <t>chargeoffdate</t>
        </is>
      </c>
      <c r="B56" s="16" t="inlineStr">
        <is>
          <t>—</t>
        </is>
      </c>
      <c r="C56" s="16" t="inlineStr">
        <is>
          <t>—</t>
        </is>
      </c>
      <c r="D56" s="16" t="inlineStr">
        <is>
          <t>—</t>
        </is>
      </c>
      <c r="E56" s="16" t="inlineStr">
        <is>
          <t>—</t>
        </is>
      </c>
      <c r="F56" s="16" t="inlineStr">
        <is>
          <t>—</t>
        </is>
      </c>
    </row>
    <row r="57">
      <c r="A57" s="15" t="inlineStr">
        <is>
          <t>chargeoffamount</t>
        </is>
      </c>
      <c r="B57" s="6" t="inlineStr">
        <is>
          <t>—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</row>
    <row r="58">
      <c r="A58" s="15" t="inlineStr">
        <is>
          <t>payoffrequested</t>
        </is>
      </c>
      <c r="B58" s="16" t="inlineStr">
        <is>
          <t>0</t>
        </is>
      </c>
      <c r="C58" s="16" t="inlineStr">
        <is>
          <t>0</t>
        </is>
      </c>
      <c r="D58" s="16" t="inlineStr">
        <is>
          <t>1</t>
        </is>
      </c>
      <c r="E58" s="16" t="inlineStr">
        <is>
          <t>0</t>
        </is>
      </c>
      <c r="F58" s="16" t="inlineStr">
        <is>
          <t>0</t>
        </is>
      </c>
    </row>
    <row r="59">
      <c r="A59" s="15" t="inlineStr">
        <is>
          <t>payoffrequestdate</t>
        </is>
      </c>
      <c r="B59" s="6" t="inlineStr">
        <is>
          <t>—</t>
        </is>
      </c>
      <c r="C59" s="6" t="inlineStr">
        <is>
          <t>—</t>
        </is>
      </c>
      <c r="D59" s="6" t="inlineStr">
        <is>
          <t>2026-03-23</t>
        </is>
      </c>
      <c r="E59" s="6" t="inlineStr">
        <is>
          <t>—</t>
        </is>
      </c>
      <c r="F59" s="6" t="inlineStr">
        <is>
          <t>—</t>
        </is>
      </c>
    </row>
    <row r="60">
      <c r="A60" s="15" t="inlineStr">
        <is>
          <t>mersid</t>
        </is>
      </c>
      <c r="B60" s="16" t="inlineStr">
        <is>
          <t>101229710000033408</t>
        </is>
      </c>
      <c r="C60" s="16" t="inlineStr">
        <is>
          <t>100859730000132976</t>
        </is>
      </c>
      <c r="D60" s="16" t="inlineStr">
        <is>
          <t>—</t>
        </is>
      </c>
      <c r="E60" s="16" t="inlineStr">
        <is>
          <t>100661190012111072</t>
        </is>
      </c>
      <c r="F60" s="16" t="inlineStr">
        <is>
          <t>100661190011370480</t>
        </is>
      </c>
    </row>
    <row r="61">
      <c r="A61" s="15" t="inlineStr">
        <is>
          <t>servicefeepercent</t>
        </is>
      </c>
      <c r="B61" s="6" t="inlineStr">
        <is>
          <t>0</t>
        </is>
      </c>
      <c r="C61" s="6" t="inlineStr">
        <is>
          <t>0</t>
        </is>
      </c>
      <c r="D61" s="6" t="inlineStr">
        <is>
          <t>0</t>
        </is>
      </c>
      <c r="E61" s="6" t="inlineStr">
        <is>
          <t>0</t>
        </is>
      </c>
      <c r="F61" s="6" t="inlineStr">
        <is>
          <t>0</t>
        </is>
      </c>
    </row>
    <row r="62">
      <c r="A62" s="15" t="inlineStr">
        <is>
          <t>servicefeedollars</t>
        </is>
      </c>
      <c r="B62" s="16" t="inlineStr">
        <is>
          <t>0</t>
        </is>
      </c>
      <c r="C62" s="16" t="inlineStr">
        <is>
          <t>0</t>
        </is>
      </c>
      <c r="D62" s="16" t="inlineStr">
        <is>
          <t>0</t>
        </is>
      </c>
      <c r="E62" s="16" t="inlineStr">
        <is>
          <t>0</t>
        </is>
      </c>
      <c r="F62" s="16" t="inlineStr">
        <is>
          <t>0</t>
        </is>
      </c>
    </row>
    <row r="63">
      <c r="A63" s="15" t="inlineStr">
        <is>
          <t>interestmethod</t>
        </is>
      </c>
      <c r="B63" s="6" t="inlineStr">
        <is>
          <t>0</t>
        </is>
      </c>
      <c r="C63" s="6" t="inlineStr">
        <is>
          <t>0</t>
        </is>
      </c>
      <c r="D63" s="6" t="inlineStr">
        <is>
          <t>0</t>
        </is>
      </c>
      <c r="E63" s="6" t="inlineStr">
        <is>
          <t>0</t>
        </is>
      </c>
      <c r="F63" s="6" t="inlineStr">
        <is>
          <t>0</t>
        </is>
      </c>
    </row>
    <row r="64">
      <c r="A64" s="15" t="inlineStr">
        <is>
          <t>negamflag</t>
        </is>
      </c>
      <c r="B64" s="16" t="inlineStr">
        <is>
          <t>0</t>
        </is>
      </c>
      <c r="C64" s="16" t="inlineStr">
        <is>
          <t>0</t>
        </is>
      </c>
      <c r="D64" s="16" t="inlineStr">
        <is>
          <t>0</t>
        </is>
      </c>
      <c r="E64" s="16" t="inlineStr">
        <is>
          <t>0</t>
        </is>
      </c>
      <c r="F64" s="16" t="inlineStr">
        <is>
          <t>0</t>
        </is>
      </c>
    </row>
    <row r="65">
      <c r="A65" s="15" t="inlineStr">
        <is>
          <t>borrowerdeceasedflag</t>
        </is>
      </c>
      <c r="B65" s="6" t="inlineStr">
        <is>
          <t>0</t>
        </is>
      </c>
      <c r="C65" s="6" t="inlineStr">
        <is>
          <t>0</t>
        </is>
      </c>
      <c r="D65" s="6" t="inlineStr">
        <is>
          <t>0</t>
        </is>
      </c>
      <c r="E65" s="6" t="inlineStr">
        <is>
          <t>0</t>
        </is>
      </c>
      <c r="F65" s="6" t="inlineStr">
        <is>
          <t>0</t>
        </is>
      </c>
    </row>
    <row r="66">
      <c r="A66" s="15" t="inlineStr">
        <is>
          <t>coborrowerdeceasedflag</t>
        </is>
      </c>
      <c r="B66" s="16" t="inlineStr">
        <is>
          <t>0</t>
        </is>
      </c>
      <c r="C66" s="16" t="inlineStr">
        <is>
          <t>—</t>
        </is>
      </c>
      <c r="D66" s="16" t="inlineStr">
        <is>
          <t>—</t>
        </is>
      </c>
      <c r="E66" s="16" t="inlineStr">
        <is>
          <t>—</t>
        </is>
      </c>
      <c r="F66" s="16" t="inlineStr">
        <is>
          <t>—</t>
        </is>
      </c>
    </row>
    <row r="67">
      <c r="A67" s="15" t="inlineStr">
        <is>
          <t>priorservicer</t>
        </is>
      </c>
      <c r="B67" s="6" t="inlineStr">
        <is>
          <t>Specialized Loan Servicing</t>
        </is>
      </c>
      <c r="C67" s="6" t="inlineStr">
        <is>
          <t>Specialized Loan Servicing</t>
        </is>
      </c>
      <c r="D67" s="6" t="inlineStr">
        <is>
          <t>Associated Bank</t>
        </is>
      </c>
      <c r="E67" s="6" t="inlineStr">
        <is>
          <t>Specialized Loan Servicing</t>
        </is>
      </c>
      <c r="F67" s="6" t="inlineStr">
        <is>
          <t>Specialized Loan Servicing</t>
        </is>
      </c>
    </row>
    <row r="68">
      <c r="A68" s="15" t="inlineStr">
        <is>
          <t>foreignnationalflag</t>
        </is>
      </c>
      <c r="B68" s="16" t="inlineStr">
        <is>
          <t>0</t>
        </is>
      </c>
      <c r="C68" s="16" t="inlineStr">
        <is>
          <t>0</t>
        </is>
      </c>
      <c r="D68" s="16" t="inlineStr">
        <is>
          <t>0</t>
        </is>
      </c>
      <c r="E68" s="16" t="inlineStr">
        <is>
          <t>0</t>
        </is>
      </c>
      <c r="F68" s="16" t="inlineStr">
        <is>
          <t>0</t>
        </is>
      </c>
    </row>
    <row r="69">
      <c r="A69" s="15" t="inlineStr">
        <is>
          <t>min_status</t>
        </is>
      </c>
      <c r="B69" s="6" t="inlineStr">
        <is>
          <t>1</t>
        </is>
      </c>
      <c r="C69" s="6" t="inlineStr">
        <is>
          <t>1</t>
        </is>
      </c>
      <c r="D69" s="6" t="inlineStr">
        <is>
          <t>—</t>
        </is>
      </c>
      <c r="E69" s="6" t="inlineStr">
        <is>
          <t>1</t>
        </is>
      </c>
      <c r="F69" s="6" t="inlineStr">
        <is>
          <t>1</t>
        </is>
      </c>
    </row>
    <row r="70">
      <c r="A70" s="15" t="inlineStr">
        <is>
          <t>origorgid</t>
        </is>
      </c>
      <c r="B70" s="16" t="inlineStr">
        <is>
          <t>1012297</t>
        </is>
      </c>
      <c r="C70" s="16" t="inlineStr">
        <is>
          <t>1008597</t>
        </is>
      </c>
      <c r="D70" s="16" t="inlineStr">
        <is>
          <t>—</t>
        </is>
      </c>
      <c r="E70" s="16" t="inlineStr">
        <is>
          <t>1006611</t>
        </is>
      </c>
      <c r="F70" s="16" t="inlineStr">
        <is>
          <t>1006611</t>
        </is>
      </c>
    </row>
    <row r="71">
      <c r="A71" s="15" t="inlineStr">
        <is>
          <t>origorgname</t>
        </is>
      </c>
      <c r="B71" s="6" t="inlineStr">
        <is>
          <t>Approved Mortgage Source, LLC</t>
        </is>
      </c>
      <c r="C71" s="6" t="inlineStr">
        <is>
          <t>IMPAC Mortgage Corp.</t>
        </is>
      </c>
      <c r="D71" s="6" t="inlineStr">
        <is>
          <t>—</t>
        </is>
      </c>
      <c r="E71" s="6" t="inlineStr">
        <is>
          <t>Home Point Financial Corporation</t>
        </is>
      </c>
      <c r="F71" s="6" t="inlineStr">
        <is>
          <t>—</t>
        </is>
      </c>
    </row>
    <row r="72">
      <c r="A72" s="15" t="inlineStr">
        <is>
          <t>servicerorgid</t>
        </is>
      </c>
      <c r="B72" s="16" t="inlineStr">
        <is>
          <t>1007544</t>
        </is>
      </c>
      <c r="C72" s="16" t="inlineStr">
        <is>
          <t>1007544</t>
        </is>
      </c>
      <c r="D72" s="16" t="inlineStr">
        <is>
          <t>—</t>
        </is>
      </c>
      <c r="E72" s="16" t="inlineStr">
        <is>
          <t>1007544</t>
        </is>
      </c>
      <c r="F72" s="16" t="inlineStr">
        <is>
          <t>1003225</t>
        </is>
      </c>
    </row>
    <row r="73">
      <c r="A73" s="15" t="inlineStr">
        <is>
          <t>subservorgid</t>
        </is>
      </c>
      <c r="B73" s="6" t="inlineStr">
        <is>
          <t>—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</row>
    <row r="74">
      <c r="A74" s="15" t="inlineStr">
        <is>
          <t>ppc1_id</t>
        </is>
      </c>
      <c r="B74" s="16" t="inlineStr">
        <is>
          <t>—</t>
        </is>
      </c>
      <c r="C74" s="16" t="inlineStr">
        <is>
          <t>—</t>
        </is>
      </c>
      <c r="D74" s="16" t="inlineStr">
        <is>
          <t>—</t>
        </is>
      </c>
      <c r="E74" s="16" t="inlineStr">
        <is>
          <t>—</t>
        </is>
      </c>
      <c r="F74" s="16" t="inlineStr">
        <is>
          <t>—</t>
        </is>
      </c>
    </row>
    <row r="75">
      <c r="A75" s="15" t="inlineStr">
        <is>
          <t>investorname</t>
        </is>
      </c>
      <c r="B75" s="6" t="inlineStr">
        <is>
          <t>TRESTLE TITLING TRUST-1 (TRUSTEE)</t>
        </is>
      </c>
      <c r="C75" s="6" t="inlineStr">
        <is>
          <t>TRESTLE TITLING TRUST -1</t>
        </is>
      </c>
      <c r="D75" s="6" t="inlineStr">
        <is>
          <t>Trustee for Trestle Titling Trust-1</t>
        </is>
      </c>
      <c r="E75" s="6" t="inlineStr">
        <is>
          <t>Trestle Titling Trust-1</t>
        </is>
      </c>
      <c r="F75" s="6" t="inlineStr">
        <is>
          <t>TRESTLE TITLING TRUST-1 (TRUSTEE)</t>
        </is>
      </c>
    </row>
    <row r="76">
      <c r="A76" s="15" t="inlineStr">
        <is>
          <t>min_number</t>
        </is>
      </c>
      <c r="B76" s="16" t="inlineStr">
        <is>
          <t>1.012297100000334e17</t>
        </is>
      </c>
      <c r="C76" s="16" t="inlineStr">
        <is>
          <t>1.0085973000013298e17</t>
        </is>
      </c>
      <c r="D76" s="16" t="inlineStr">
        <is>
          <t>—</t>
        </is>
      </c>
      <c r="E76" s="16" t="inlineStr">
        <is>
          <t>1.0066119001211107e17</t>
        </is>
      </c>
      <c r="F76" s="16" t="inlineStr">
        <is>
          <t>1.0066119001137048e17</t>
        </is>
      </c>
    </row>
    <row r="77">
      <c r="A77" s="15" t="inlineStr">
        <is>
          <t>registerstatus</t>
        </is>
      </c>
      <c r="B77" s="6" t="inlineStr">
        <is>
          <t>Assigned For Default or BK</t>
        </is>
      </c>
      <c r="C77" s="6" t="inlineStr">
        <is>
          <t>Assigned For Default or BK</t>
        </is>
      </c>
      <c r="D77" s="6" t="inlineStr">
        <is>
          <t>—</t>
        </is>
      </c>
      <c r="E77" s="6" t="inlineStr">
        <is>
          <t>Assigned For Default or BK</t>
        </is>
      </c>
      <c r="F77" s="6" t="inlineStr">
        <is>
          <t>Inactive</t>
        </is>
      </c>
    </row>
    <row r="78">
      <c r="A78" s="15" t="inlineStr">
        <is>
          <t>deactreason</t>
        </is>
      </c>
      <c r="B78" s="16" t="inlineStr">
        <is>
          <t>FC-BK</t>
        </is>
      </c>
      <c r="C78" s="16" t="inlineStr">
        <is>
          <t>FC-BK</t>
        </is>
      </c>
      <c r="D78" s="16" t="inlineStr">
        <is>
          <t>—</t>
        </is>
      </c>
      <c r="E78" s="16" t="inlineStr">
        <is>
          <t>FC-BK</t>
        </is>
      </c>
      <c r="F78" s="16" t="inlineStr">
        <is>
          <t>—</t>
        </is>
      </c>
    </row>
    <row r="79">
      <c r="A79" s="15" t="inlineStr">
        <is>
          <t>securitization</t>
        </is>
      </c>
      <c r="B79" s="6" t="inlineStr">
        <is>
          <t>—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 xml:space="preserve">	N</t>
        </is>
      </c>
      <c r="F79" s="6" t="inlineStr">
        <is>
          <t>—</t>
        </is>
      </c>
    </row>
    <row r="80">
      <c r="A80" s="15" t="inlineStr">
        <is>
          <t>poolnumber</t>
        </is>
      </c>
      <c r="B80" s="16" t="inlineStr">
        <is>
          <t>0</t>
        </is>
      </c>
      <c r="C80" s="16" t="inlineStr">
        <is>
          <t>0</t>
        </is>
      </c>
      <c r="D80" s="16" t="inlineStr">
        <is>
          <t>0</t>
        </is>
      </c>
      <c r="E80" s="16" t="inlineStr">
        <is>
          <t>0</t>
        </is>
      </c>
      <c r="F80" s="16" t="inlineStr">
        <is>
          <t>0</t>
        </is>
      </c>
    </row>
    <row r="81">
      <c r="A81" s="15" t="inlineStr">
        <is>
          <t>investororgid</t>
        </is>
      </c>
      <c r="B81" s="6" t="inlineStr">
        <is>
          <t>1012111</t>
        </is>
      </c>
      <c r="C81" s="6" t="inlineStr">
        <is>
          <t>1012111</t>
        </is>
      </c>
      <c r="D81" s="6" t="inlineStr">
        <is>
          <t>—</t>
        </is>
      </c>
      <c r="E81" s="6" t="inlineStr">
        <is>
          <t>1012111</t>
        </is>
      </c>
      <c r="F81" s="6" t="inlineStr">
        <is>
          <t>1012111</t>
        </is>
      </c>
    </row>
    <row r="82">
      <c r="A82" s="15" t="inlineStr">
        <is>
          <t>is_hpml</t>
        </is>
      </c>
      <c r="B82" s="16" t="inlineStr">
        <is>
          <t>0</t>
        </is>
      </c>
      <c r="C82" s="16" t="inlineStr">
        <is>
          <t>0</t>
        </is>
      </c>
      <c r="D82" s="16" t="inlineStr">
        <is>
          <t>0</t>
        </is>
      </c>
      <c r="E82" s="16" t="inlineStr">
        <is>
          <t>0</t>
        </is>
      </c>
      <c r="F82" s="16" t="inlineStr">
        <is>
          <t>0</t>
        </is>
      </c>
    </row>
    <row r="83">
      <c r="A83" s="15" t="inlineStr">
        <is>
          <t>investmentproperty</t>
        </is>
      </c>
      <c r="B83" s="6" t="inlineStr">
        <is>
          <t>0</t>
        </is>
      </c>
      <c r="C83" s="6" t="inlineStr">
        <is>
          <t>0</t>
        </is>
      </c>
      <c r="D83" s="6" t="inlineStr">
        <is>
          <t>0</t>
        </is>
      </c>
      <c r="E83" s="6" t="inlineStr">
        <is>
          <t>0</t>
        </is>
      </c>
      <c r="F83" s="6" t="inlineStr">
        <is>
          <t>0</t>
        </is>
      </c>
    </row>
    <row r="84">
      <c r="A84" s="15" t="inlineStr">
        <is>
          <t>hasadditionalcollateral</t>
        </is>
      </c>
      <c r="B84" s="16" t="inlineStr">
        <is>
          <t>0</t>
        </is>
      </c>
      <c r="C84" s="16" t="inlineStr">
        <is>
          <t>0</t>
        </is>
      </c>
      <c r="D84" s="16" t="inlineStr">
        <is>
          <t>0</t>
        </is>
      </c>
      <c r="E84" s="16" t="inlineStr">
        <is>
          <t>0</t>
        </is>
      </c>
      <c r="F84" s="16" t="inlineStr">
        <is>
          <t>0</t>
        </is>
      </c>
    </row>
    <row r="85">
      <c r="A85" s="15" t="inlineStr">
        <is>
          <t>creditorname</t>
        </is>
      </c>
      <c r="B85" s="6" t="inlineStr">
        <is>
          <t>WILMINGTON SAVINGS FUND SOCIETY, FSB, not in its individual capacity, but solely as Trustee for Trestle Titling Trust-1</t>
        </is>
      </c>
      <c r="C85" s="6" t="inlineStr">
        <is>
          <t>TRESTLE TITLING TRUST -1</t>
        </is>
      </c>
      <c r="D85" s="6" t="inlineStr">
        <is>
          <t>WILMINGTON SAVINGS FUND SOCIETY, FSB, not in its individual capacity, but solely as Trustee for Trestle Titling Trust-1</t>
        </is>
      </c>
      <c r="E85" s="6" t="inlineStr">
        <is>
          <t>Trestle Titling Trust-1</t>
        </is>
      </c>
      <c r="F85" s="6" t="inlineStr">
        <is>
          <t>WILMINGTON SAVINGS FUND SOCIETY, FSB, not in its individual capacity, but solely as Trustee for Trestle Titling Trust-1</t>
        </is>
      </c>
    </row>
    <row r="86">
      <c r="A86" s="15" t="inlineStr">
        <is>
          <t>vestingname</t>
        </is>
      </c>
      <c r="B86" s="16" t="inlineStr">
        <is>
          <t>TRESTLE REO- 1 LLC</t>
        </is>
      </c>
      <c r="C86" s="16" t="inlineStr">
        <is>
          <t>TRESTLE REO- 1 LLC</t>
        </is>
      </c>
      <c r="D86" s="16" t="inlineStr">
        <is>
          <t>TRESTLE REO- 1 LLC</t>
        </is>
      </c>
      <c r="E86" s="16" t="inlineStr">
        <is>
          <t>TRESTLE REO- 1 LLC</t>
        </is>
      </c>
      <c r="F86" s="16" t="inlineStr">
        <is>
          <t>TRESTLE REO- 1 LLC</t>
        </is>
      </c>
    </row>
    <row r="87">
      <c r="A87" s="15" t="inlineStr">
        <is>
          <t>memberid</t>
        </is>
      </c>
      <c r="B87" s="6" t="inlineStr">
        <is>
          <t>—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</row>
    <row r="88">
      <c r="A88" s="15" t="inlineStr">
        <is>
          <t>welcomeletter</t>
        </is>
      </c>
      <c r="B88" s="16" t="inlineStr">
        <is>
          <t>—</t>
        </is>
      </c>
      <c r="C88" s="16" t="inlineStr">
        <is>
          <t>—</t>
        </is>
      </c>
      <c r="D88" s="16" t="inlineStr">
        <is>
          <t>2024-02-12</t>
        </is>
      </c>
      <c r="E88" s="16" t="inlineStr">
        <is>
          <t>—</t>
        </is>
      </c>
      <c r="F88" s="16" t="inlineStr">
        <is>
          <t>—</t>
        </is>
      </c>
    </row>
    <row r="89">
      <c r="A89" s="15" t="inlineStr">
        <is>
          <t>tilanotice</t>
        </is>
      </c>
      <c r="B89" s="6" t="inlineStr">
        <is>
          <t>—</t>
        </is>
      </c>
      <c r="C89" s="6" t="inlineStr">
        <is>
          <t>—</t>
        </is>
      </c>
      <c r="D89" s="6" t="inlineStr">
        <is>
          <t>2024-07-17</t>
        </is>
      </c>
      <c r="E89" s="6" t="inlineStr">
        <is>
          <t>—</t>
        </is>
      </c>
      <c r="F89" s="6" t="inlineStr">
        <is>
          <t>—</t>
        </is>
      </c>
    </row>
    <row r="90">
      <c r="A90" s="15" t="inlineStr">
        <is>
          <t>debenturerate</t>
        </is>
      </c>
      <c r="B90" s="16" t="inlineStr">
        <is>
          <t>3.25</t>
        </is>
      </c>
      <c r="C90" s="16" t="inlineStr">
        <is>
          <t>3.25</t>
        </is>
      </c>
      <c r="D90" s="16" t="inlineStr">
        <is>
          <t>2.75</t>
        </is>
      </c>
      <c r="E90" s="16" t="inlineStr">
        <is>
          <t>1.875</t>
        </is>
      </c>
      <c r="F90" s="16" t="inlineStr">
        <is>
          <t>1.875</t>
        </is>
      </c>
    </row>
    <row r="91">
      <c r="A91" s="15" t="inlineStr">
        <is>
          <t>reasonfordefault</t>
        </is>
      </c>
      <c r="B91" s="6" t="inlineStr">
        <is>
          <t>Reduction in Borrower's Income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Unable to Contact Borrower</t>
        </is>
      </c>
      <c r="F91" s="6" t="inlineStr">
        <is>
          <t>—</t>
        </is>
      </c>
    </row>
    <row r="92">
      <c r="A92" s="15" t="inlineStr">
        <is>
          <t>custodianname</t>
        </is>
      </c>
      <c r="B92" s="16" t="inlineStr">
        <is>
          <t>DC-WT</t>
        </is>
      </c>
      <c r="C92" s="16" t="inlineStr">
        <is>
          <t>DC-WT</t>
        </is>
      </c>
      <c r="D92" s="16" t="inlineStr">
        <is>
          <t>DC-WT</t>
        </is>
      </c>
      <c r="E92" s="16" t="inlineStr">
        <is>
          <t>DC-WT</t>
        </is>
      </c>
      <c r="F92" s="16" t="inlineStr">
        <is>
          <t>DC-WT</t>
        </is>
      </c>
    </row>
    <row r="93">
      <c r="A93" s="15" t="inlineStr">
        <is>
          <t>custodiancollateralid</t>
        </is>
      </c>
      <c r="B93" s="6" t="inlineStr">
        <is>
          <t>8001883579</t>
        </is>
      </c>
      <c r="C93" s="6" t="inlineStr">
        <is>
          <t>3111022026</t>
        </is>
      </c>
      <c r="D93" s="6" t="inlineStr">
        <is>
          <t>7727004200</t>
        </is>
      </c>
      <c r="E93" s="6" t="inlineStr">
        <is>
          <t>7001810280</t>
        </is>
      </c>
      <c r="F93" s="6" t="inlineStr">
        <is>
          <t>6001690164</t>
        </is>
      </c>
    </row>
    <row r="94">
      <c r="A94" s="15" t="inlineStr">
        <is>
          <t>delinquency_status_mba</t>
        </is>
      </c>
      <c r="B94" s="16" t="inlineStr">
        <is>
          <t>REO</t>
        </is>
      </c>
      <c r="C94" s="16" t="inlineStr">
        <is>
          <t>120-149 DPD</t>
        </is>
      </c>
      <c r="D94" s="16" t="inlineStr">
        <is>
          <t>Full Payoff</t>
        </is>
      </c>
      <c r="E94" s="16" t="inlineStr">
        <is>
          <t>REO</t>
        </is>
      </c>
      <c r="F94" s="16" t="inlineStr">
        <is>
          <t>Performing Bankruptcy</t>
        </is>
      </c>
    </row>
    <row r="95">
      <c r="A95" s="15" t="inlineStr">
        <is>
          <t>create_time</t>
        </is>
      </c>
      <c r="B95" s="6" t="inlineStr">
        <is>
          <t>2026-06-05 19:37:58</t>
        </is>
      </c>
      <c r="C95" s="6" t="inlineStr">
        <is>
          <t>2026-06-05 19:37:58</t>
        </is>
      </c>
      <c r="D95" s="6" t="inlineStr">
        <is>
          <t>2026-06-05 19:37:58</t>
        </is>
      </c>
      <c r="E95" s="6" t="inlineStr">
        <is>
          <t>2026-06-05 19:37:58</t>
        </is>
      </c>
      <c r="F95" s="6" t="inlineStr">
        <is>
          <t>2026-06-05 19:37:58</t>
        </is>
      </c>
    </row>
    <row r="96">
      <c r="A96" s="15" t="inlineStr">
        <is>
          <t>update_time</t>
        </is>
      </c>
      <c r="B96" s="16" t="inlineStr">
        <is>
          <t>2026-06-05 19:37:58</t>
        </is>
      </c>
      <c r="C96" s="16" t="inlineStr">
        <is>
          <t>2026-06-05 19:37:58</t>
        </is>
      </c>
      <c r="D96" s="16" t="inlineStr">
        <is>
          <t>2026-06-05 19:37:58</t>
        </is>
      </c>
      <c r="E96" s="16" t="inlineStr">
        <is>
          <t>2026-06-05 19:37:58</t>
        </is>
      </c>
      <c r="F96" s="16" t="inlineStr">
        <is>
          <t>2026-06-05 19:37:58</t>
        </is>
      </c>
    </row>
    <row r="97">
      <c r="A97" s="15" t="inlineStr">
        <is>
          <t>eoy_1099c_cancelled_date_reported</t>
        </is>
      </c>
      <c r="B97" s="6" t="inlineStr">
        <is>
          <t>—</t>
        </is>
      </c>
      <c r="C97" s="6" t="inlineStr">
        <is>
          <t>—</t>
        </is>
      </c>
      <c r="D97" s="6" t="inlineStr">
        <is>
          <t>—</t>
        </is>
      </c>
      <c r="E97" s="6" t="inlineStr">
        <is>
          <t>—</t>
        </is>
      </c>
      <c r="F97" s="6" t="inlineStr">
        <is>
          <t>—</t>
        </is>
      </c>
    </row>
    <row r="98">
      <c r="A98" s="15" t="inlineStr">
        <is>
          <t>loanscraflag</t>
        </is>
      </c>
      <c r="B98" s="16" t="inlineStr">
        <is>
          <t>—</t>
        </is>
      </c>
      <c r="C98" s="16" t="inlineStr">
        <is>
          <t>—</t>
        </is>
      </c>
      <c r="D98" s="16" t="inlineStr">
        <is>
          <t>—</t>
        </is>
      </c>
      <c r="E98" s="16" t="inlineStr">
        <is>
          <t>—</t>
        </is>
      </c>
      <c r="F98" s="16" t="inlineStr">
        <is>
          <t>—</t>
        </is>
      </c>
    </row>
    <row r="99">
      <c r="A99" s="15" t="inlineStr">
        <is>
          <t>srlienstatuscode</t>
        </is>
      </c>
      <c r="B99" s="6" t="inlineStr">
        <is>
          <t>—</t>
        </is>
      </c>
      <c r="C99" s="6" t="inlineStr">
        <is>
          <t>—</t>
        </is>
      </c>
      <c r="D99" s="6" t="inlineStr">
        <is>
          <t>—</t>
        </is>
      </c>
      <c r="E99" s="6" t="inlineStr">
        <is>
          <t>—</t>
        </is>
      </c>
      <c r="F99" s="6" t="inlineStr">
        <is>
          <t>—</t>
        </is>
      </c>
    </row>
    <row r="100">
      <c r="A100" s="15" t="inlineStr">
        <is>
          <t>srlienname</t>
        </is>
      </c>
      <c r="B100" s="16" t="inlineStr">
        <is>
          <t>—</t>
        </is>
      </c>
      <c r="C100" s="16" t="inlineStr">
        <is>
          <t>—</t>
        </is>
      </c>
      <c r="D100" s="16" t="inlineStr">
        <is>
          <t>—</t>
        </is>
      </c>
      <c r="E100" s="16" t="inlineStr">
        <is>
          <t>—</t>
        </is>
      </c>
      <c r="F100" s="16" t="inlineStr">
        <is>
          <t>—</t>
        </is>
      </c>
    </row>
    <row r="101">
      <c r="A101" s="15" t="inlineStr">
        <is>
          <t>srlienduedate</t>
        </is>
      </c>
      <c r="B101" s="6" t="inlineStr">
        <is>
          <t>—</t>
        </is>
      </c>
      <c r="C101" s="6" t="inlineStr">
        <is>
          <t>—</t>
        </is>
      </c>
      <c r="D101" s="6" t="inlineStr">
        <is>
          <t>—</t>
        </is>
      </c>
      <c r="E101" s="6" t="inlineStr">
        <is>
          <t>—</t>
        </is>
      </c>
      <c r="F101" s="6" t="inlineStr">
        <is>
          <t>—</t>
        </is>
      </c>
    </row>
    <row r="102">
      <c r="A102" s="15" t="inlineStr">
        <is>
          <t>srlienstatusdesc</t>
        </is>
      </c>
      <c r="B102" s="16" t="inlineStr">
        <is>
          <t>—</t>
        </is>
      </c>
      <c r="C102" s="16" t="inlineStr">
        <is>
          <t>—</t>
        </is>
      </c>
      <c r="D102" s="16" t="inlineStr">
        <is>
          <t>—</t>
        </is>
      </c>
      <c r="E102" s="16" t="inlineStr">
        <is>
          <t>—</t>
        </is>
      </c>
      <c r="F102" s="16" t="inlineStr">
        <is>
          <t>—</t>
        </is>
      </c>
    </row>
    <row r="103">
      <c r="A103" s="15" t="inlineStr">
        <is>
          <t>prepaypenaltyenddate</t>
        </is>
      </c>
      <c r="B103" s="6" t="inlineStr">
        <is>
          <t>—</t>
        </is>
      </c>
      <c r="C103" s="6" t="inlineStr">
        <is>
          <t>—</t>
        </is>
      </c>
      <c r="D103" s="6" t="inlineStr">
        <is>
          <t>—</t>
        </is>
      </c>
      <c r="E103" s="6" t="inlineStr">
        <is>
          <t>—</t>
        </is>
      </c>
      <c r="F103" s="6" t="inlineStr">
        <is>
          <t>—</t>
        </is>
      </c>
    </row>
    <row r="104">
      <c r="A104" s="15" t="inlineStr">
        <is>
          <t>loanscrapaymenteffectivedate</t>
        </is>
      </c>
      <c r="B104" s="16" t="inlineStr">
        <is>
          <t>—</t>
        </is>
      </c>
      <c r="C104" s="16" t="inlineStr">
        <is>
          <t>—</t>
        </is>
      </c>
      <c r="D104" s="16" t="inlineStr">
        <is>
          <t>—</t>
        </is>
      </c>
      <c r="E104" s="16" t="inlineStr">
        <is>
          <t>—</t>
        </is>
      </c>
      <c r="F104" s="16" t="inlineStr">
        <is>
          <t>—</t>
        </is>
      </c>
    </row>
    <row r="105">
      <c r="A105" s="15" t="inlineStr">
        <is>
          <t>cdfi</t>
        </is>
      </c>
      <c r="B105" s="6" t="inlineStr">
        <is>
          <t>0</t>
        </is>
      </c>
      <c r="C105" s="6" t="inlineStr">
        <is>
          <t>0</t>
        </is>
      </c>
      <c r="D105" s="6" t="inlineStr">
        <is>
          <t>0</t>
        </is>
      </c>
      <c r="E105" s="6" t="inlineStr">
        <is>
          <t>0</t>
        </is>
      </c>
      <c r="F105" s="6" t="inlineStr">
        <is>
          <t>0</t>
        </is>
      </c>
    </row>
    <row r="106">
      <c r="A106" s="15" t="inlineStr">
        <is>
          <t>investorchargeoff</t>
        </is>
      </c>
      <c r="B106" s="16" t="inlineStr">
        <is>
          <t>0</t>
        </is>
      </c>
      <c r="C106" s="16" t="inlineStr">
        <is>
          <t>0</t>
        </is>
      </c>
      <c r="D106" s="16" t="inlineStr">
        <is>
          <t>0</t>
        </is>
      </c>
      <c r="E106" s="16" t="inlineStr">
        <is>
          <t>0</t>
        </is>
      </c>
      <c r="F106" s="16" t="inlineStr">
        <is>
          <t>0</t>
        </is>
      </c>
    </row>
    <row r="107">
      <c r="A107" s="15" t="inlineStr">
        <is>
          <t>eoy_1099c_flag</t>
        </is>
      </c>
      <c r="B107" s="6" t="inlineStr">
        <is>
          <t>—</t>
        </is>
      </c>
      <c r="C107" s="6" t="inlineStr">
        <is>
          <t>—</t>
        </is>
      </c>
      <c r="D107" s="6" t="inlineStr">
        <is>
          <t>—</t>
        </is>
      </c>
      <c r="E107" s="6" t="inlineStr">
        <is>
          <t>—</t>
        </is>
      </c>
      <c r="F107" s="6" t="inlineStr">
        <is>
          <t>—</t>
        </is>
      </c>
    </row>
    <row r="108">
      <c r="A108" s="15" t="inlineStr">
        <is>
          <t>disasterdesignationdate</t>
        </is>
      </c>
      <c r="B108" s="16" t="inlineStr">
        <is>
          <t>—</t>
        </is>
      </c>
      <c r="C108" s="16" t="inlineStr">
        <is>
          <t>—</t>
        </is>
      </c>
      <c r="D108" s="16" t="inlineStr">
        <is>
          <t>—</t>
        </is>
      </c>
      <c r="E108" s="16" t="inlineStr">
        <is>
          <t>—</t>
        </is>
      </c>
      <c r="F108" s="16" t="inlineStr">
        <is>
          <t>—</t>
        </is>
      </c>
    </row>
    <row r="109">
      <c r="A109" s="15" t="inlineStr">
        <is>
          <t>inauctionflag</t>
        </is>
      </c>
      <c r="B109" s="6" t="inlineStr">
        <is>
          <t>0</t>
        </is>
      </c>
      <c r="C109" s="6" t="inlineStr">
        <is>
          <t>0</t>
        </is>
      </c>
      <c r="D109" s="6" t="inlineStr">
        <is>
          <t>0</t>
        </is>
      </c>
      <c r="E109" s="6" t="inlineStr">
        <is>
          <t>1</t>
        </is>
      </c>
      <c r="F109" s="6" t="inlineStr">
        <is>
          <t>0</t>
        </is>
      </c>
    </row>
    <row r="110">
      <c r="A110" s="15" t="inlineStr">
        <is>
          <t>fhavapmicasenumber</t>
        </is>
      </c>
      <c r="B110" s="16" t="inlineStr">
        <is>
          <t>—</t>
        </is>
      </c>
      <c r="C110" s="16" t="inlineStr">
        <is>
          <t>—</t>
        </is>
      </c>
      <c r="D110" s="16" t="inlineStr">
        <is>
          <t>1000201256</t>
        </is>
      </c>
      <c r="E110" s="16" t="inlineStr">
        <is>
          <t>171762357107</t>
        </is>
      </c>
      <c r="F110" s="16" t="inlineStr">
        <is>
          <t>171762373396</t>
        </is>
      </c>
    </row>
    <row r="111">
      <c r="A111" s="15" t="inlineStr">
        <is>
          <t>loanscraenddate</t>
        </is>
      </c>
      <c r="B111" s="6" t="inlineStr">
        <is>
          <t>—</t>
        </is>
      </c>
      <c r="C111" s="6" t="inlineStr">
        <is>
          <t>—</t>
        </is>
      </c>
      <c r="D111" s="6" t="inlineStr">
        <is>
          <t>—</t>
        </is>
      </c>
      <c r="E111" s="6" t="inlineStr">
        <is>
          <t>—</t>
        </is>
      </c>
      <c r="F111" s="6" t="inlineStr">
        <is>
          <t>—</t>
        </is>
      </c>
    </row>
    <row r="112">
      <c r="A112" s="15" t="inlineStr">
        <is>
          <t>borrowerprimarymilitarystatuscode</t>
        </is>
      </c>
      <c r="B112" s="16" t="inlineStr">
        <is>
          <t>0</t>
        </is>
      </c>
      <c r="C112" s="16" t="inlineStr">
        <is>
          <t>0</t>
        </is>
      </c>
      <c r="D112" s="16" t="inlineStr">
        <is>
          <t>0</t>
        </is>
      </c>
      <c r="E112" s="16" t="inlineStr">
        <is>
          <t>0</t>
        </is>
      </c>
      <c r="F112" s="16" t="inlineStr">
        <is>
          <t>0</t>
        </is>
      </c>
    </row>
    <row r="113">
      <c r="A113" s="15" t="inlineStr">
        <is>
          <t>borrowerprimarymilitarystatuscodedesc</t>
        </is>
      </c>
      <c r="B113" s="6" t="inlineStr">
        <is>
          <t>Not Maintained</t>
        </is>
      </c>
      <c r="C113" s="6" t="inlineStr">
        <is>
          <t>Not Maintained</t>
        </is>
      </c>
      <c r="D113" s="6" t="inlineStr">
        <is>
          <t>Not Maintained</t>
        </is>
      </c>
      <c r="E113" s="6" t="inlineStr">
        <is>
          <t>Not Maintained</t>
        </is>
      </c>
      <c r="F113" s="6" t="inlineStr">
        <is>
          <t>Not Maintained</t>
        </is>
      </c>
    </row>
    <row r="114">
      <c r="A114" s="15" t="inlineStr">
        <is>
          <t>dscr</t>
        </is>
      </c>
      <c r="B114" s="16" t="inlineStr">
        <is>
          <t>0</t>
        </is>
      </c>
      <c r="C114" s="16" t="inlineStr">
        <is>
          <t>0</t>
        </is>
      </c>
      <c r="D114" s="16" t="inlineStr">
        <is>
          <t>0</t>
        </is>
      </c>
      <c r="E114" s="16" t="inlineStr">
        <is>
          <t>0</t>
        </is>
      </c>
      <c r="F114" s="16" t="inlineStr">
        <is>
          <t>0</t>
        </is>
      </c>
    </row>
    <row r="115">
      <c r="A115" s="15" t="inlineStr">
        <is>
          <t>loanscrastartdate</t>
        </is>
      </c>
      <c r="B115" s="6" t="inlineStr">
        <is>
          <t>—</t>
        </is>
      </c>
      <c r="C115" s="6" t="inlineStr">
        <is>
          <t>—</t>
        </is>
      </c>
      <c r="D115" s="6" t="inlineStr">
        <is>
          <t>—</t>
        </is>
      </c>
      <c r="E115" s="6" t="inlineStr">
        <is>
          <t>—</t>
        </is>
      </c>
      <c r="F115" s="6" t="inlineStr">
        <is>
          <t>—</t>
        </is>
      </c>
    </row>
    <row r="116">
      <c r="A116" s="15" t="inlineStr">
        <is>
          <t>disastername</t>
        </is>
      </c>
      <c r="B116" s="16" t="inlineStr">
        <is>
          <t>—</t>
        </is>
      </c>
      <c r="C116" s="16" t="inlineStr">
        <is>
          <t>—</t>
        </is>
      </c>
      <c r="D116" s="16" t="inlineStr">
        <is>
          <t>—</t>
        </is>
      </c>
      <c r="E116" s="16" t="inlineStr">
        <is>
          <t>—</t>
        </is>
      </c>
      <c r="F116" s="16" t="inlineStr">
        <is>
          <t>—</t>
        </is>
      </c>
    </row>
    <row r="117">
      <c r="A117" s="15" t="inlineStr">
        <is>
          <t>bridgeloan</t>
        </is>
      </c>
      <c r="B117" s="6" t="inlineStr">
        <is>
          <t>0</t>
        </is>
      </c>
      <c r="C117" s="6" t="inlineStr">
        <is>
          <t>0</t>
        </is>
      </c>
      <c r="D117" s="6" t="inlineStr">
        <is>
          <t>0</t>
        </is>
      </c>
      <c r="E117" s="6" t="inlineStr">
        <is>
          <t>0</t>
        </is>
      </c>
      <c r="F117" s="6" t="inlineStr">
        <is>
          <t>0</t>
        </is>
      </c>
    </row>
    <row r="118">
      <c r="A118" s="15" t="inlineStr">
        <is>
          <t>secondhome</t>
        </is>
      </c>
      <c r="B118" s="16" t="inlineStr">
        <is>
          <t>0</t>
        </is>
      </c>
      <c r="C118" s="16" t="inlineStr">
        <is>
          <t>0</t>
        </is>
      </c>
      <c r="D118" s="16" t="inlineStr">
        <is>
          <t>0</t>
        </is>
      </c>
      <c r="E118" s="16" t="inlineStr">
        <is>
          <t>0</t>
        </is>
      </c>
      <c r="F118" s="16" t="inlineStr">
        <is>
          <t>0</t>
        </is>
      </c>
    </row>
    <row r="119">
      <c r="A119" s="15" t="inlineStr">
        <is>
          <t>priorservicername</t>
        </is>
      </c>
      <c r="B119" s="6" t="inlineStr">
        <is>
          <t>Specialized Loan Servicing</t>
        </is>
      </c>
      <c r="C119" s="6" t="inlineStr">
        <is>
          <t>Specialized Loan Servicing</t>
        </is>
      </c>
      <c r="D119" s="6" t="inlineStr">
        <is>
          <t>Associated Bank</t>
        </is>
      </c>
      <c r="E119" s="6" t="inlineStr">
        <is>
          <t>Specialized Loan Servicing</t>
        </is>
      </c>
      <c r="F119" s="6" t="inlineStr">
        <is>
          <t>Specialized Loan Servicing</t>
        </is>
      </c>
    </row>
    <row r="120">
      <c r="A120" s="15" t="inlineStr">
        <is>
          <t>disasterimpactcreateddate</t>
        </is>
      </c>
      <c r="B120" s="16" t="inlineStr">
        <is>
          <t>—</t>
        </is>
      </c>
      <c r="C120" s="16" t="inlineStr">
        <is>
          <t>—</t>
        </is>
      </c>
      <c r="D120" s="16" t="inlineStr">
        <is>
          <t>—</t>
        </is>
      </c>
      <c r="E120" s="16" t="inlineStr">
        <is>
          <t>—</t>
        </is>
      </c>
      <c r="F120" s="16" t="inlineStr">
        <is>
          <t>—</t>
        </is>
      </c>
    </row>
    <row r="121">
      <c r="A121" s="15" t="inlineStr">
        <is>
          <t>investorchargeoffdate</t>
        </is>
      </c>
      <c r="B121" s="6" t="inlineStr">
        <is>
          <t>—</t>
        </is>
      </c>
      <c r="C121" s="6" t="inlineStr">
        <is>
          <t>—</t>
        </is>
      </c>
      <c r="D121" s="6" t="inlineStr">
        <is>
          <t>—</t>
        </is>
      </c>
      <c r="E121" s="6" t="inlineStr">
        <is>
          <t>—</t>
        </is>
      </c>
      <c r="F121" s="6" t="inlineStr">
        <is>
          <t>—</t>
        </is>
      </c>
    </row>
    <row r="122">
      <c r="A122" s="15" t="inlineStr">
        <is>
          <t>disasterdeclarationnumber</t>
        </is>
      </c>
      <c r="B122" s="16" t="inlineStr">
        <is>
          <t>—</t>
        </is>
      </c>
      <c r="C122" s="16" t="inlineStr">
        <is>
          <t>—</t>
        </is>
      </c>
      <c r="D122" s="16" t="inlineStr">
        <is>
          <t>—</t>
        </is>
      </c>
      <c r="E122" s="16" t="inlineStr">
        <is>
          <t>—</t>
        </is>
      </c>
      <c r="F122" s="16" t="inlineStr">
        <is>
          <t>—</t>
        </is>
      </c>
    </row>
    <row r="123">
      <c r="A123" s="15" t="inlineStr">
        <is>
          <t>lienseniorbalanceprincipalcurrent</t>
        </is>
      </c>
      <c r="B123" s="6" t="inlineStr">
        <is>
          <t>—</t>
        </is>
      </c>
      <c r="C123" s="6" t="inlineStr">
        <is>
          <t>—</t>
        </is>
      </c>
      <c r="D123" s="6" t="inlineStr">
        <is>
          <t>—</t>
        </is>
      </c>
      <c r="E123" s="6" t="inlineStr">
        <is>
          <t>—</t>
        </is>
      </c>
      <c r="F123" s="6" t="inlineStr">
        <is>
          <t>—</t>
        </is>
      </c>
    </row>
    <row r="124">
      <c r="A124" s="15" t="inlineStr">
        <is>
          <t>loanscrainterestrate</t>
        </is>
      </c>
      <c r="B124" s="16" t="inlineStr">
        <is>
          <t>—</t>
        </is>
      </c>
      <c r="C124" s="16" t="inlineStr">
        <is>
          <t>—</t>
        </is>
      </c>
      <c r="D124" s="16" t="inlineStr">
        <is>
          <t>—</t>
        </is>
      </c>
      <c r="E124" s="16" t="inlineStr">
        <is>
          <t>—</t>
        </is>
      </c>
      <c r="F124" s="16" t="inlineStr">
        <is>
          <t>—</t>
        </is>
      </c>
    </row>
    <row r="125">
      <c r="A125" s="15" t="inlineStr">
        <is>
          <t>loanscrapipayment</t>
        </is>
      </c>
      <c r="B125" s="6" t="inlineStr">
        <is>
          <t>—</t>
        </is>
      </c>
      <c r="C125" s="6" t="inlineStr">
        <is>
          <t>—</t>
        </is>
      </c>
      <c r="D125" s="6" t="inlineStr">
        <is>
          <t>—</t>
        </is>
      </c>
      <c r="E125" s="6" t="inlineStr">
        <is>
          <t>—</t>
        </is>
      </c>
      <c r="F125" s="6" t="inlineStr">
        <is>
          <t>—</t>
        </is>
      </c>
    </row>
    <row r="126">
      <c r="A126" s="15" t="inlineStr">
        <is>
          <t>eoy_1099c_cancelled_amount_reported</t>
        </is>
      </c>
      <c r="B126" s="16" t="inlineStr">
        <is>
          <t>—</t>
        </is>
      </c>
      <c r="C126" s="16" t="inlineStr">
        <is>
          <t>—</t>
        </is>
      </c>
      <c r="D126" s="16" t="inlineStr">
        <is>
          <t>—</t>
        </is>
      </c>
      <c r="E126" s="16" t="inlineStr">
        <is>
          <t>—</t>
        </is>
      </c>
      <c r="F126" s="16" t="inlineStr">
        <is>
          <t>—</t>
        </is>
      </c>
    </row>
    <row r="127">
      <c r="A127" s="15" t="inlineStr">
        <is>
          <t>otsdelinquency</t>
        </is>
      </c>
      <c r="B127" s="6" t="inlineStr">
        <is>
          <t>REO</t>
        </is>
      </c>
      <c r="C127" s="6" t="inlineStr">
        <is>
          <t>120-149 DPD</t>
        </is>
      </c>
      <c r="D127" s="6" t="inlineStr">
        <is>
          <t>Full Payoff</t>
        </is>
      </c>
      <c r="E127" s="6" t="inlineStr">
        <is>
          <t>REO</t>
        </is>
      </c>
      <c r="F127" s="6" t="inlineStr">
        <is>
          <t>Performing Bankruptcy</t>
        </is>
      </c>
    </row>
    <row r="128">
      <c r="A128" s="15" t="inlineStr">
        <is>
          <t>leadbilldays</t>
        </is>
      </c>
      <c r="B128" s="16" t="inlineStr">
        <is>
          <t>—</t>
        </is>
      </c>
      <c r="C128" s="16" t="inlineStr">
        <is>
          <t>—</t>
        </is>
      </c>
      <c r="D128" s="16" t="inlineStr">
        <is>
          <t>—</t>
        </is>
      </c>
      <c r="E128" s="16" t="inlineStr">
        <is>
          <t>—</t>
        </is>
      </c>
      <c r="F128" s="16" t="inlineStr">
        <is>
          <t>—</t>
        </is>
      </c>
    </row>
    <row r="129">
      <c r="A129" s="15" t="inlineStr">
        <is>
          <t>guarantyfeepercent</t>
        </is>
      </c>
      <c r="B129" s="6" t="inlineStr">
        <is>
          <t>0</t>
        </is>
      </c>
      <c r="C129" s="6" t="inlineStr">
        <is>
          <t>0</t>
        </is>
      </c>
      <c r="D129" s="6" t="inlineStr">
        <is>
          <t>0</t>
        </is>
      </c>
      <c r="E129" s="6" t="inlineStr">
        <is>
          <t>0</t>
        </is>
      </c>
      <c r="F129" s="6" t="inlineStr">
        <is>
          <t>0</t>
        </is>
      </c>
    </row>
    <row r="130">
      <c r="A130" s="15" t="inlineStr">
        <is>
          <t>acquiredduedate</t>
        </is>
      </c>
      <c r="B130" s="16" t="inlineStr">
        <is>
          <t>2024-07-01</t>
        </is>
      </c>
      <c r="C130" s="16" t="inlineStr">
        <is>
          <t>2024-05-01</t>
        </is>
      </c>
      <c r="D130" s="16" t="inlineStr">
        <is>
          <t>2024-01-01</t>
        </is>
      </c>
      <c r="E130" s="16" t="inlineStr">
        <is>
          <t>2024-03-01</t>
        </is>
      </c>
      <c r="F130" s="16" t="inlineStr">
        <is>
          <t>2024-03-01</t>
        </is>
      </c>
    </row>
    <row r="131">
      <c r="A131" s="15" t="inlineStr">
        <is>
          <t>interestpaidthroughdate</t>
        </is>
      </c>
      <c r="B131" s="6" t="inlineStr">
        <is>
          <t>2024-12-01</t>
        </is>
      </c>
      <c r="C131" s="6" t="inlineStr">
        <is>
          <t>2026-01-01</t>
        </is>
      </c>
      <c r="D131" s="6" t="inlineStr">
        <is>
          <t>2024-11-01</t>
        </is>
      </c>
      <c r="E131" s="6" t="inlineStr">
        <is>
          <t>2024-02-01</t>
        </is>
      </c>
      <c r="F131" s="6" t="inlineStr">
        <is>
          <t>2026-03-01</t>
        </is>
      </c>
    </row>
    <row r="132">
      <c r="A132" s="15" t="inlineStr">
        <is>
          <t>srstatus</t>
        </is>
      </c>
      <c r="B132" s="16" t="inlineStr">
        <is>
          <t>—</t>
        </is>
      </c>
      <c r="C132" s="16" t="inlineStr">
        <is>
          <t>—</t>
        </is>
      </c>
      <c r="D132" s="16" t="inlineStr">
        <is>
          <t>—</t>
        </is>
      </c>
      <c r="E132" s="16" t="inlineStr">
        <is>
          <t>—</t>
        </is>
      </c>
      <c r="F132" s="16" t="inlineStr">
        <is>
          <t>—</t>
        </is>
      </c>
    </row>
    <row r="133">
      <c r="A133" s="15" t="inlineStr">
        <is>
          <t>enoteflag</t>
        </is>
      </c>
      <c r="B133" s="6" t="inlineStr">
        <is>
          <t>0</t>
        </is>
      </c>
      <c r="C133" s="6" t="inlineStr">
        <is>
          <t>0</t>
        </is>
      </c>
      <c r="D133" s="6" t="inlineStr">
        <is>
          <t>0</t>
        </is>
      </c>
      <c r="E133" s="6" t="inlineStr">
        <is>
          <t>0</t>
        </is>
      </c>
      <c r="F133" s="6" t="inlineStr">
        <is>
          <t>0</t>
        </is>
      </c>
    </row>
    <row r="134">
      <c r="A134" s="15" t="inlineStr">
        <is>
          <t>billingstatementdate</t>
        </is>
      </c>
      <c r="B134" s="16" t="inlineStr">
        <is>
          <t>2026-05-18</t>
        </is>
      </c>
      <c r="C134" s="16" t="inlineStr">
        <is>
          <t>2026-05-18</t>
        </is>
      </c>
      <c r="D134" s="16" t="inlineStr">
        <is>
          <t>2026-03-18</t>
        </is>
      </c>
      <c r="E134" s="16" t="inlineStr">
        <is>
          <t>2025-07-21</t>
        </is>
      </c>
      <c r="F134" s="16" t="inlineStr">
        <is>
          <t>2026-05-18</t>
        </is>
      </c>
    </row>
    <row r="135">
      <c r="A135" s="15" t="inlineStr">
        <is>
          <t>vrmflag</t>
        </is>
      </c>
      <c r="B135" s="6" t="inlineStr">
        <is>
          <t>0</t>
        </is>
      </c>
      <c r="C135" s="6" t="inlineStr">
        <is>
          <t>0</t>
        </is>
      </c>
      <c r="D135" s="6" t="inlineStr">
        <is>
          <t>0</t>
        </is>
      </c>
      <c r="E135" s="6" t="inlineStr">
        <is>
          <t>0</t>
        </is>
      </c>
      <c r="F135" s="6" t="inlineStr">
        <is>
          <t>0</t>
        </is>
      </c>
    </row>
    <row r="136">
      <c r="A136" s="15" t="inlineStr">
        <is>
          <t>pendinginvestoridtransfer</t>
        </is>
      </c>
      <c r="B136" s="16" t="inlineStr">
        <is>
          <t>0</t>
        </is>
      </c>
      <c r="C136" s="16" t="inlineStr">
        <is>
          <t>0</t>
        </is>
      </c>
      <c r="D136" s="16" t="inlineStr">
        <is>
          <t>0</t>
        </is>
      </c>
      <c r="E136" s="16" t="inlineStr">
        <is>
          <t>0</t>
        </is>
      </c>
      <c r="F136" s="16" t="inlineStr">
        <is>
          <t>0</t>
        </is>
      </c>
    </row>
    <row r="137">
      <c r="A137" s="15" t="inlineStr">
        <is>
          <t>newinvestorid</t>
        </is>
      </c>
      <c r="B137" s="6" t="inlineStr">
        <is>
          <t>—</t>
        </is>
      </c>
      <c r="C137" s="6" t="inlineStr">
        <is>
          <t>—</t>
        </is>
      </c>
      <c r="D137" s="6" t="inlineStr">
        <is>
          <t>—</t>
        </is>
      </c>
      <c r="E137" s="6" t="inlineStr">
        <is>
          <t>—</t>
        </is>
      </c>
      <c r="F137" s="6" t="inlineStr">
        <is>
          <t>—</t>
        </is>
      </c>
    </row>
    <row r="138">
      <c r="A138" s="15" t="inlineStr">
        <is>
          <t>amltype</t>
        </is>
      </c>
      <c r="B138" s="16" t="inlineStr">
        <is>
          <t>0</t>
        </is>
      </c>
      <c r="C138" s="16" t="inlineStr">
        <is>
          <t>0</t>
        </is>
      </c>
      <c r="D138" s="16" t="inlineStr">
        <is>
          <t>0</t>
        </is>
      </c>
      <c r="E138" s="16" t="inlineStr">
        <is>
          <t>0</t>
        </is>
      </c>
      <c r="F138" s="16" t="inlineStr">
        <is>
          <t>0</t>
        </is>
      </c>
    </row>
    <row r="139">
      <c r="A139" s="15" t="inlineStr">
        <is>
          <t>successorservicer</t>
        </is>
      </c>
      <c r="B139" s="6" t="inlineStr">
        <is>
          <t>—</t>
        </is>
      </c>
      <c r="C139" s="6" t="inlineStr">
        <is>
          <t>—</t>
        </is>
      </c>
      <c r="D139" s="6" t="inlineStr">
        <is>
          <t>—</t>
        </is>
      </c>
      <c r="E139" s="6" t="inlineStr">
        <is>
          <t>—</t>
        </is>
      </c>
      <c r="F139" s="6" t="inlineStr">
        <is>
          <t>—</t>
        </is>
      </c>
    </row>
  </sheetData>
  <mergeCells count="13">
    <mergeCell ref="A2:F2"/>
    <mergeCell ref="A11:F11"/>
    <mergeCell ref="A10:F10"/>
    <mergeCell ref="A13:F13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4" t="inlineStr">
        <is>
          <t>newrez.portnewrezprop — 房产源表（propertystate 等）</t>
        </is>
      </c>
    </row>
    <row r="2">
      <c r="A2" s="13" t="inlineStr">
        <is>
          <t>全 32 字段 · 取数口径：dataasof=MAX(每贷款) · 命中 5/5 贷款（无行的贷款列显示 —） · prod 实测 2026-06-04 · 业务日 2026-06-01</t>
        </is>
      </c>
    </row>
    <row r="3" ht="56" customHeight="1">
      <c r="A3" s="14" t="inlineStr">
        <is>
          <t>查询 SQL（prod 只读）：
-- newrez.portnewrezprop · mysql_prod(只读) · 每贷款 dataasof=MAX(最新快照) · 业务日 2026-06-01
SELECT t.* FROM newrez.portnewrezprop t JOIN (SELECT loanid, MAX(dataasof) AS _md FROM newrez.portnewrezprop WHERE loanid IN ('7727000088','7727000672','7727004200','7727000065','7727000010') GROUP BY loanid) m ON t.loanid=m.loanid AND t.dataasof=m._md;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45" customHeight="1">
      <c r="A5" s="36" t="inlineStr">
        <is>
          <t>业务含义/目的：Newrez 房产源表(32 列)，含 propertystate(州，定司法/非司法)、LTV、occupancy 等。 提供物业/州属性；州决定 FCL 走司法(judicial)还是非司法路径。</t>
        </is>
      </c>
    </row>
    <row r="6" ht="18" customHeight="1">
      <c r="A6" s="36" t="inlineStr">
        <is>
          <t>何时来查：查某贷款物业州/LTV/占用情况。</t>
        </is>
      </c>
    </row>
    <row r="7" ht="45" customHeight="1">
      <c r="A7" s="36" t="inlineStr">
        <is>
          <t>为什么这样处理：司法/非司法影响 FCL 时长与阶段口径，需物业州维度（实测 state 取自 portnewrezprop.propertystate）。</t>
        </is>
      </c>
    </row>
    <row r="8" ht="18" customHeight="1">
      <c r="A8" s="36" t="inlineStr">
        <is>
          <t>数据粒度：1 行/贷款/dataasof。</t>
        </is>
      </c>
    </row>
    <row r="9" ht="30" customHeight="1">
      <c r="A9" s="36" t="inlineStr">
        <is>
          <t>上游链路：Servicer 文件(S3, L0) → newrez.portnewrezprop</t>
        </is>
      </c>
    </row>
    <row r="10" ht="18" customHeight="1">
      <c r="A10" s="36" t="inlineStr">
        <is>
          <t>全部上游表：Servicer 文件(S3, L0)</t>
        </is>
      </c>
    </row>
    <row r="11" ht="75" customHeight="1">
      <c r="A11" s="36" t="inlineStr">
        <is>
          <t>下游链路：portnewrezprop.propertystate → port.basic_data_daily_loan_common(州维度) / port.basic_data_loan_foreclosure(summary_judicial_foreclosure 司法标志) → bpms.sync_loan_foreclosure → BPS</t>
        </is>
      </c>
    </row>
    <row r="12" ht="45" customHeight="1">
      <c r="A12" s="36" t="inlineStr">
        <is>
          <t>全部下游表：port.basic_data_daily_loan_common、port.basic_data_loan_foreclosure、bpms.sync_loan_foreclosure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5" t="inlineStr">
        <is>
          <t>字段</t>
        </is>
      </c>
      <c r="B14" s="5" t="inlineStr">
        <is>
          <t>7727000088</t>
        </is>
      </c>
      <c r="C14" s="5" t="inlineStr">
        <is>
          <t>7727000672</t>
        </is>
      </c>
      <c r="D14" s="5" t="inlineStr">
        <is>
          <t>7727004200</t>
        </is>
      </c>
      <c r="E14" s="5" t="inlineStr">
        <is>
          <t>7727000065</t>
        </is>
      </c>
      <c r="F14" s="5" t="inlineStr">
        <is>
          <t>7727000010</t>
        </is>
      </c>
    </row>
    <row r="15">
      <c r="A15" s="15" t="inlineStr">
        <is>
          <t>id</t>
        </is>
      </c>
      <c r="B15" s="6" t="inlineStr">
        <is>
          <t>1747370</t>
        </is>
      </c>
      <c r="C15" s="6" t="inlineStr">
        <is>
          <t>1746929</t>
        </is>
      </c>
      <c r="D15" s="6" t="inlineStr">
        <is>
          <t>1748514</t>
        </is>
      </c>
      <c r="E15" s="6" t="inlineStr">
        <is>
          <t>1747391</t>
        </is>
      </c>
      <c r="F15" s="6" t="inlineStr">
        <is>
          <t>1747384</t>
        </is>
      </c>
    </row>
    <row r="16">
      <c r="A16" s="15" t="inlineStr">
        <is>
          <t>loanid</t>
        </is>
      </c>
      <c r="B16" s="16" t="inlineStr">
        <is>
          <t>7727000088</t>
        </is>
      </c>
      <c r="C16" s="16" t="inlineStr">
        <is>
          <t>7727000672</t>
        </is>
      </c>
      <c r="D16" s="16" t="inlineStr">
        <is>
          <t>7727004200</t>
        </is>
      </c>
      <c r="E16" s="16" t="inlineStr">
        <is>
          <t>7727000065</t>
        </is>
      </c>
      <c r="F16" s="16" t="inlineStr">
        <is>
          <t>7727000010</t>
        </is>
      </c>
    </row>
    <row r="17">
      <c r="A17" s="15" t="inlineStr">
        <is>
          <t>dataasof</t>
        </is>
      </c>
      <c r="B17" s="6" t="inlineStr">
        <is>
          <t>2026-06-04</t>
        </is>
      </c>
      <c r="C17" s="6" t="inlineStr">
        <is>
          <t>2026-06-04</t>
        </is>
      </c>
      <c r="D17" s="6" t="inlineStr">
        <is>
          <t>2026-06-04</t>
        </is>
      </c>
      <c r="E17" s="6" t="inlineStr">
        <is>
          <t>2026-06-04</t>
        </is>
      </c>
      <c r="F17" s="6" t="inlineStr">
        <is>
          <t>2026-06-04</t>
        </is>
      </c>
    </row>
    <row r="18">
      <c r="A18" s="15" t="inlineStr">
        <is>
          <t>shellpointloanid</t>
        </is>
      </c>
      <c r="B18" s="16" t="inlineStr">
        <is>
          <t>1031718838</t>
        </is>
      </c>
      <c r="C18" s="16" t="inlineStr">
        <is>
          <t>1032761570</t>
        </is>
      </c>
      <c r="D18" s="16" t="inlineStr">
        <is>
          <t>0688132141</t>
        </is>
      </c>
      <c r="E18" s="16" t="inlineStr">
        <is>
          <t>1031718621</t>
        </is>
      </c>
      <c r="F18" s="16" t="inlineStr">
        <is>
          <t>1031718692</t>
        </is>
      </c>
    </row>
    <row r="19">
      <c r="A19" s="15" t="inlineStr">
        <is>
          <t>propertyaddressline1</t>
        </is>
      </c>
      <c r="B19" s="6" t="inlineStr">
        <is>
          <t>21 LK CHARLES LN</t>
        </is>
      </c>
      <c r="C19" s="6" t="inlineStr">
        <is>
          <t>W 3120 SCHLOSSER RD</t>
        </is>
      </c>
      <c r="D19" s="6" t="inlineStr">
        <is>
          <t>13977 W EMMA LN</t>
        </is>
      </c>
      <c r="E19" s="6" t="inlineStr">
        <is>
          <t>2331 SW FREEMAN ST</t>
        </is>
      </c>
      <c r="F19" s="6" t="inlineStr">
        <is>
          <t>19801 OLD BELLAMY RD</t>
        </is>
      </c>
    </row>
    <row r="20">
      <c r="A20" s="15" t="inlineStr">
        <is>
          <t>propertyaddressline2</t>
        </is>
      </c>
      <c r="B20" s="16" t="inlineStr">
        <is>
          <t>—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—</t>
        </is>
      </c>
      <c r="F20" s="16" t="inlineStr">
        <is>
          <t>—</t>
        </is>
      </c>
    </row>
    <row r="21">
      <c r="A21" s="15" t="inlineStr">
        <is>
          <t>propertycity</t>
        </is>
      </c>
      <c r="B21" s="6" t="inlineStr">
        <is>
          <t>PALM COAST</t>
        </is>
      </c>
      <c r="C21" s="6" t="inlineStr">
        <is>
          <t>MORAN</t>
        </is>
      </c>
      <c r="D21" s="6" t="inlineStr">
        <is>
          <t>METTAWA</t>
        </is>
      </c>
      <c r="E21" s="6" t="inlineStr">
        <is>
          <t>PORT SAINT LUCIE</t>
        </is>
      </c>
      <c r="F21" s="6" t="inlineStr">
        <is>
          <t>ALACHUA</t>
        </is>
      </c>
    </row>
    <row r="22">
      <c r="A22" s="15" t="inlineStr">
        <is>
          <t>propertystate</t>
        </is>
      </c>
      <c r="B22" s="16" t="inlineStr">
        <is>
          <t>FL</t>
        </is>
      </c>
      <c r="C22" s="16" t="inlineStr">
        <is>
          <t>MI</t>
        </is>
      </c>
      <c r="D22" s="16" t="inlineStr">
        <is>
          <t>IL</t>
        </is>
      </c>
      <c r="E22" s="16" t="inlineStr">
        <is>
          <t>FL</t>
        </is>
      </c>
      <c r="F22" s="16" t="inlineStr">
        <is>
          <t>FL</t>
        </is>
      </c>
    </row>
    <row r="23">
      <c r="A23" s="15" t="inlineStr">
        <is>
          <t>propertyzip</t>
        </is>
      </c>
      <c r="B23" s="6" t="inlineStr">
        <is>
          <t>32137</t>
        </is>
      </c>
      <c r="C23" s="6" t="inlineStr">
        <is>
          <t>49760</t>
        </is>
      </c>
      <c r="D23" s="6" t="inlineStr">
        <is>
          <t>60045</t>
        </is>
      </c>
      <c r="E23" s="6" t="inlineStr">
        <is>
          <t>34953</t>
        </is>
      </c>
      <c r="F23" s="6" t="inlineStr">
        <is>
          <t>32615</t>
        </is>
      </c>
    </row>
    <row r="24">
      <c r="A24" s="15" t="inlineStr">
        <is>
          <t>propertycounty</t>
        </is>
      </c>
      <c r="B24" s="16" t="inlineStr">
        <is>
          <t>FLAGLER</t>
        </is>
      </c>
      <c r="C24" s="16" t="inlineStr">
        <is>
          <t>MACKINAC</t>
        </is>
      </c>
      <c r="D24" s="16" t="inlineStr">
        <is>
          <t>LAKE</t>
        </is>
      </c>
      <c r="E24" s="16" t="inlineStr">
        <is>
          <t>ST. LUCIE</t>
        </is>
      </c>
      <c r="F24" s="16" t="inlineStr">
        <is>
          <t>ALACHUA</t>
        </is>
      </c>
    </row>
    <row r="25">
      <c r="A25" s="15" t="inlineStr">
        <is>
          <t>propertytype</t>
        </is>
      </c>
      <c r="B25" s="6" t="inlineStr">
        <is>
          <t>20</t>
        </is>
      </c>
      <c r="C25" s="6" t="inlineStr">
        <is>
          <t>20</t>
        </is>
      </c>
      <c r="D25" s="6" t="inlineStr">
        <is>
          <t>39</t>
        </is>
      </c>
      <c r="E25" s="6" t="inlineStr">
        <is>
          <t>20</t>
        </is>
      </c>
      <c r="F25" s="6" t="inlineStr">
        <is>
          <t>20</t>
        </is>
      </c>
    </row>
    <row r="26">
      <c r="A26" s="15" t="inlineStr">
        <is>
          <t>currentoccupancy</t>
        </is>
      </c>
      <c r="B26" s="16" t="inlineStr">
        <is>
          <t>2</t>
        </is>
      </c>
      <c r="C26" s="16" t="inlineStr">
        <is>
          <t>0</t>
        </is>
      </c>
      <c r="D26" s="16" t="inlineStr">
        <is>
          <t>0</t>
        </is>
      </c>
      <c r="E26" s="16" t="inlineStr">
        <is>
          <t>2</t>
        </is>
      </c>
      <c r="F26" s="16" t="inlineStr">
        <is>
          <t>0</t>
        </is>
      </c>
    </row>
    <row r="27">
      <c r="A27" s="15" t="inlineStr">
        <is>
          <t>currentoccupancydate</t>
        </is>
      </c>
      <c r="B27" s="6" t="inlineStr">
        <is>
          <t>2026-05-26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2026-05-23</t>
        </is>
      </c>
      <c r="F27" s="6" t="inlineStr">
        <is>
          <t>2026-01-28</t>
        </is>
      </c>
    </row>
    <row r="28">
      <c r="A28" s="15" t="inlineStr">
        <is>
          <t>mostrecentvalue</t>
        </is>
      </c>
      <c r="B28" s="16" t="inlineStr">
        <is>
          <t>287753</t>
        </is>
      </c>
      <c r="C28" s="16" t="inlineStr">
        <is>
          <t>350000</t>
        </is>
      </c>
      <c r="D28" s="16" t="inlineStr">
        <is>
          <t>855000</t>
        </is>
      </c>
      <c r="E28" s="16" t="inlineStr">
        <is>
          <t>455900</t>
        </is>
      </c>
      <c r="F28" s="16" t="inlineStr">
        <is>
          <t>320750</t>
        </is>
      </c>
    </row>
    <row r="29">
      <c r="A29" s="15" t="inlineStr">
        <is>
          <t>mostrecentvaluedate</t>
        </is>
      </c>
      <c r="B29" s="6" t="inlineStr">
        <is>
          <t>2026-06-01</t>
        </is>
      </c>
      <c r="C29" s="6" t="inlineStr">
        <is>
          <t>2026-04-29</t>
        </is>
      </c>
      <c r="D29" s="6" t="inlineStr">
        <is>
          <t>2026-03-05</t>
        </is>
      </c>
      <c r="E29" s="6" t="inlineStr">
        <is>
          <t>2026-03-30</t>
        </is>
      </c>
      <c r="F29" s="6" t="inlineStr">
        <is>
          <t>2022-12-06</t>
        </is>
      </c>
    </row>
    <row r="30">
      <c r="A30" s="15" t="inlineStr">
        <is>
          <t>valuationmethod</t>
        </is>
      </c>
      <c r="B30" s="16" t="inlineStr">
        <is>
          <t>2</t>
        </is>
      </c>
      <c r="C30" s="16" t="inlineStr">
        <is>
          <t>4</t>
        </is>
      </c>
      <c r="D30" s="16" t="inlineStr">
        <is>
          <t>2</t>
        </is>
      </c>
      <c r="E30" s="16" t="inlineStr">
        <is>
          <t>2</t>
        </is>
      </c>
      <c r="F30" s="16" t="inlineStr">
        <is>
          <t>2</t>
        </is>
      </c>
    </row>
    <row r="31">
      <c r="A31" s="15" t="inlineStr">
        <is>
          <t>bpoprovider</t>
        </is>
      </c>
      <c r="B31" s="6" t="inlineStr">
        <is>
          <t>—</t>
        </is>
      </c>
      <c r="C31" s="6" t="inlineStr">
        <is>
          <t>—</t>
        </is>
      </c>
      <c r="D31" s="6" t="inlineStr">
        <is>
          <t>10</t>
        </is>
      </c>
      <c r="E31" s="6" t="inlineStr">
        <is>
          <t>—</t>
        </is>
      </c>
      <c r="F31" s="6" t="inlineStr">
        <is>
          <t>—</t>
        </is>
      </c>
    </row>
    <row r="32">
      <c r="A32" s="15" t="inlineStr">
        <is>
          <t>originalpropertyvalue</t>
        </is>
      </c>
      <c r="B32" s="16" t="inlineStr">
        <is>
          <t>343000</t>
        </is>
      </c>
      <c r="C32" s="16" t="inlineStr">
        <is>
          <t>508000</t>
        </is>
      </c>
      <c r="D32" s="16" t="inlineStr">
        <is>
          <t>563000</t>
        </is>
      </c>
      <c r="E32" s="16" t="inlineStr">
        <is>
          <t>538000</t>
        </is>
      </c>
      <c r="F32" s="16" t="inlineStr">
        <is>
          <t>325000</t>
        </is>
      </c>
    </row>
    <row r="33">
      <c r="A33" s="15" t="inlineStr">
        <is>
          <t>originalpropertyvaluedate</t>
        </is>
      </c>
      <c r="B33" s="6" t="inlineStr">
        <is>
          <t>2022-08-01</t>
        </is>
      </c>
      <c r="C33" s="6" t="inlineStr">
        <is>
          <t>2022-05-01</t>
        </is>
      </c>
      <c r="D33" s="6" t="inlineStr">
        <is>
          <t>—</t>
        </is>
      </c>
      <c r="E33" s="6" t="inlineStr">
        <is>
          <t>2022-05-01</t>
        </is>
      </c>
      <c r="F33" s="6" t="inlineStr">
        <is>
          <t>2022-02-01</t>
        </is>
      </c>
    </row>
    <row r="34">
      <c r="A34" s="15" t="inlineStr">
        <is>
          <t>vacancyflag</t>
        </is>
      </c>
      <c r="B34" s="16" t="inlineStr">
        <is>
          <t>1</t>
        </is>
      </c>
      <c r="C34" s="16" t="inlineStr">
        <is>
          <t>0</t>
        </is>
      </c>
      <c r="D34" s="16" t="inlineStr">
        <is>
          <t>0</t>
        </is>
      </c>
      <c r="E34" s="16" t="inlineStr">
        <is>
          <t>1</t>
        </is>
      </c>
      <c r="F34" s="16" t="inlineStr">
        <is>
          <t>0</t>
        </is>
      </c>
    </row>
    <row r="35">
      <c r="A35" s="15" t="inlineStr">
        <is>
          <t>originalltv</t>
        </is>
      </c>
      <c r="B35" s="6" t="inlineStr">
        <is>
          <t>0.9472</t>
        </is>
      </c>
      <c r="C35" s="6" t="inlineStr">
        <is>
          <t>0.8366</t>
        </is>
      </c>
      <c r="D35" s="6" t="inlineStr">
        <is>
          <t>0.9449</t>
        </is>
      </c>
      <c r="E35" s="6" t="inlineStr">
        <is>
          <t>0.9</t>
        </is>
      </c>
      <c r="F35" s="6" t="inlineStr">
        <is>
          <t>0.8687</t>
        </is>
      </c>
    </row>
    <row r="36">
      <c r="A36" s="15" t="inlineStr">
        <is>
          <t>currentltv</t>
        </is>
      </c>
      <c r="B36" s="16" t="inlineStr">
        <is>
          <t>1.1013</t>
        </is>
      </c>
      <c r="C36" s="16" t="inlineStr">
        <is>
          <t>1.189</t>
        </is>
      </c>
      <c r="D36" s="16" t="inlineStr">
        <is>
          <t>0</t>
        </is>
      </c>
      <c r="E36" s="16" t="inlineStr">
        <is>
          <t>1.0318</t>
        </is>
      </c>
      <c r="F36" s="16" t="inlineStr">
        <is>
          <t>0.8103</t>
        </is>
      </c>
    </row>
    <row r="37">
      <c r="A37" s="15" t="inlineStr">
        <is>
          <t>numberofunits</t>
        </is>
      </c>
      <c r="B37" s="6" t="inlineStr">
        <is>
          <t>1</t>
        </is>
      </c>
      <c r="C37" s="6" t="inlineStr">
        <is>
          <t>1</t>
        </is>
      </c>
      <c r="D37" s="6" t="inlineStr">
        <is>
          <t>1</t>
        </is>
      </c>
      <c r="E37" s="6" t="inlineStr">
        <is>
          <t>1</t>
        </is>
      </c>
      <c r="F37" s="6" t="inlineStr">
        <is>
          <t>1</t>
        </is>
      </c>
    </row>
    <row r="38">
      <c r="A38" s="15" t="inlineStr">
        <is>
          <t>mostrecentbpovalue</t>
        </is>
      </c>
      <c r="B38" s="16" t="inlineStr">
        <is>
          <t>287753</t>
        </is>
      </c>
      <c r="C38" s="16" t="inlineStr">
        <is>
          <t>539900</t>
        </is>
      </c>
      <c r="D38" s="16" t="inlineStr">
        <is>
          <t>855000</t>
        </is>
      </c>
      <c r="E38" s="16" t="inlineStr">
        <is>
          <t>455900</t>
        </is>
      </c>
      <c r="F38" s="16" t="inlineStr">
        <is>
          <t>320750</t>
        </is>
      </c>
    </row>
    <row r="39">
      <c r="A39" s="15" t="inlineStr">
        <is>
          <t>mostrecentbpovaluedate</t>
        </is>
      </c>
      <c r="B39" s="6" t="inlineStr">
        <is>
          <t>2026-06-01</t>
        </is>
      </c>
      <c r="C39" s="6" t="inlineStr">
        <is>
          <t>2026-04-25</t>
        </is>
      </c>
      <c r="D39" s="6" t="inlineStr">
        <is>
          <t>2026-03-05</t>
        </is>
      </c>
      <c r="E39" s="6" t="inlineStr">
        <is>
          <t>2026-03-30</t>
        </is>
      </c>
      <c r="F39" s="6" t="inlineStr">
        <is>
          <t>2022-12-06</t>
        </is>
      </c>
    </row>
    <row r="40">
      <c r="A40" s="15" t="inlineStr">
        <is>
          <t>taxservice</t>
        </is>
      </c>
      <c r="B40" s="16" t="inlineStr">
        <is>
          <t>First American Tax Service</t>
        </is>
      </c>
      <c r="C40" s="16" t="inlineStr">
        <is>
          <t>First American Tax Service</t>
        </is>
      </c>
      <c r="D40" s="16" t="inlineStr">
        <is>
          <t>First American Tax Service</t>
        </is>
      </c>
      <c r="E40" s="16" t="inlineStr">
        <is>
          <t>First American Tax Service</t>
        </is>
      </c>
      <c r="F40" s="16" t="inlineStr">
        <is>
          <t>First American Tax Service</t>
        </is>
      </c>
    </row>
    <row r="41">
      <c r="A41" s="15" t="inlineStr">
        <is>
          <t>datesenttotaxoutsource</t>
        </is>
      </c>
      <c r="B41" s="6" t="inlineStr">
        <is>
          <t>2024-07-11</t>
        </is>
      </c>
      <c r="C41" s="6" t="inlineStr">
        <is>
          <t>2024-07-23</t>
        </is>
      </c>
      <c r="D41" s="6" t="inlineStr">
        <is>
          <t>2024-02-14</t>
        </is>
      </c>
      <c r="E41" s="6" t="inlineStr">
        <is>
          <t>2024-07-11</t>
        </is>
      </c>
      <c r="F41" s="6" t="inlineStr">
        <is>
          <t>2024-07-11</t>
        </is>
      </c>
    </row>
    <row r="42">
      <c r="A42" s="15" t="inlineStr">
        <is>
          <t>create_time</t>
        </is>
      </c>
      <c r="B42" s="16" t="inlineStr">
        <is>
          <t>2026-06-05 19:38:50</t>
        </is>
      </c>
      <c r="C42" s="16" t="inlineStr">
        <is>
          <t>2026-06-05 19:38:49</t>
        </is>
      </c>
      <c r="D42" s="16" t="inlineStr">
        <is>
          <t>2026-06-05 19:38:50</t>
        </is>
      </c>
      <c r="E42" s="16" t="inlineStr">
        <is>
          <t>2026-06-05 19:38:50</t>
        </is>
      </c>
      <c r="F42" s="16" t="inlineStr">
        <is>
          <t>2026-06-05 19:38:50</t>
        </is>
      </c>
    </row>
    <row r="43">
      <c r="A43" s="15" t="inlineStr">
        <is>
          <t>update_time</t>
        </is>
      </c>
      <c r="B43" s="6" t="inlineStr">
        <is>
          <t>2026-06-05 19:38:50</t>
        </is>
      </c>
      <c r="C43" s="6" t="inlineStr">
        <is>
          <t>2026-06-05 19:38:49</t>
        </is>
      </c>
      <c r="D43" s="6" t="inlineStr">
        <is>
          <t>2026-06-05 19:38:50</t>
        </is>
      </c>
      <c r="E43" s="6" t="inlineStr">
        <is>
          <t>2026-06-05 19:38:50</t>
        </is>
      </c>
      <c r="F43" s="6" t="inlineStr">
        <is>
          <t>2026-06-05 19:38:50</t>
        </is>
      </c>
    </row>
    <row r="44">
      <c r="A44" s="15" t="inlineStr">
        <is>
          <t>originaloccupancy</t>
        </is>
      </c>
      <c r="B44" s="16" t="inlineStr">
        <is>
          <t>Primary Residence</t>
        </is>
      </c>
      <c r="C44" s="16" t="inlineStr">
        <is>
          <t>Primary Residence</t>
        </is>
      </c>
      <c r="D44" s="16" t="inlineStr">
        <is>
          <t>Primary Residence</t>
        </is>
      </c>
      <c r="E44" s="16" t="inlineStr">
        <is>
          <t>Primary Residence</t>
        </is>
      </c>
      <c r="F44" s="16" t="inlineStr">
        <is>
          <t>Primary Residence</t>
        </is>
      </c>
    </row>
    <row r="45">
      <c r="A45" s="15" t="inlineStr">
        <is>
          <t>investorloanid</t>
        </is>
      </c>
      <c r="B45" s="6" t="inlineStr">
        <is>
          <t>7727000088</t>
        </is>
      </c>
      <c r="C45" s="6" t="inlineStr">
        <is>
          <t>7727000672</t>
        </is>
      </c>
      <c r="D45" s="6" t="inlineStr">
        <is>
          <t>7727004200</t>
        </is>
      </c>
      <c r="E45" s="6" t="inlineStr">
        <is>
          <t>7727000065</t>
        </is>
      </c>
      <c r="F45" s="6" t="inlineStr">
        <is>
          <t>7727000010</t>
        </is>
      </c>
    </row>
    <row r="46">
      <c r="A46" s="15" t="inlineStr">
        <is>
          <t>countycode</t>
        </is>
      </c>
      <c r="B46" s="16" t="inlineStr">
        <is>
          <t>35</t>
        </is>
      </c>
      <c r="C46" s="16" t="inlineStr">
        <is>
          <t>97</t>
        </is>
      </c>
      <c r="D46" s="16" t="inlineStr">
        <is>
          <t>97</t>
        </is>
      </c>
      <c r="E46" s="16" t="inlineStr">
        <is>
          <t>111</t>
        </is>
      </c>
      <c r="F46" s="16" t="inlineStr">
        <is>
          <t>1</t>
        </is>
      </c>
    </row>
  </sheetData>
  <mergeCells count="13">
    <mergeCell ref="A2:F2"/>
    <mergeCell ref="A11:F11"/>
    <mergeCell ref="A10:F10"/>
    <mergeCell ref="A13:F13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7" t="inlineStr">
        <is>
          <t>port.basic_data_loan_fcl — Redshift FCL 快照中间表（portnewrezfc 全量进此；每贷款取最新 dataasof）</t>
        </is>
      </c>
    </row>
    <row r="2">
      <c r="A2" s="13" t="inlineStr">
        <is>
          <t>全 61 字段 · 取数口径：dataasof=MAX(每贷款) · 命中 5/5 贷款（无行的贷款列显示 —） · prod 实测 2026-06-04 · 业务日 2026-06-01</t>
        </is>
      </c>
    </row>
    <row r="3" ht="56" customHeight="1">
      <c r="A3" s="14" t="inlineStr">
        <is>
          <t>查询 SQL（prod 只读）：
-- port.basic_data_loan_fcl · redshift_prod(只读) · 每贷款 dataasof=MAX(最新快照) · 业务日 2026-06-01
SELECT t.* FROM port.basic_data_loan_fcl t JOIN (SELECT loanid, MAX(dataasof) AS _md FROM port.basic_data_loan_fcl WHERE loanid IN ('7727000088','7727000672','7727004200','7727000065','7727000010') GROUP BY loanid) m ON t.loanid=m.loanid AND t.dataasof=m._md;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60" customHeight="1">
      <c r="A5" s="36" t="inlineStr">
        <is>
          <t>业务含义/目的：Redshift FCL 事实表——portnewrezfc 等经改名后 UNION 全 6 家 servicer 的统一列宽表(每贷款最新 dataasof)。 FCL 计算的统一入口；屏蔽各 servicer 列名差异。</t>
        </is>
      </c>
    </row>
    <row r="6" ht="30" customHeight="1">
      <c r="A6" s="36" t="inlineStr">
        <is>
          <t>何时来查：查‘统一列名后的 FCL 字段值’，或定位某下游字段来自哪根统一列。</t>
        </is>
      </c>
    </row>
    <row r="7" ht="30" customHeight="1">
      <c r="A7" s="36" t="inlineStr">
        <is>
          <t>为什么这样处理：各家列名不同，先改名(tempfc.temp_basic_data_fcl)再 UNION 成一张统一事实表，下游只面对一套列名。</t>
        </is>
      </c>
    </row>
    <row r="8" ht="18" customHeight="1">
      <c r="A8" s="36" t="inlineStr">
        <is>
          <t>数据粒度：1 行/贷款（每贷款最新 dataasof）。</t>
        </is>
      </c>
    </row>
    <row r="9" ht="60" customHeight="1">
      <c r="A9" s="36" t="inlineStr">
        <is>
          <t>上游链路：Servicer 文件(L0) → newrez.portnewrezfc(+各家对应表) → tempfc.temp_basic_data_fcl(改名) → port.basic_data_loan_fcl〔UNION，basic_data_pool_config.py〕</t>
        </is>
      </c>
    </row>
    <row r="10" ht="45" customHeight="1">
      <c r="A10" s="36" t="inlineStr">
        <is>
          <t>全部上游表：Servicer 文件(L0)、newrez.portnewrezfc、(sls/carrington/mrc/fci/selene 对应源表)、tempfc.temp_basic_data_fcl</t>
        </is>
      </c>
    </row>
    <row r="11" ht="135" customHeight="1">
      <c r="A11" s="36" t="inlineStr">
        <is>
          <t>下游链路：basic_data_loan_fcl → { port.basic_data_loan_foreclosure〔GEN_FCL_DETAIL :253-305〕 / port.fcl_stage_info〔GEN_FCL_STAGE :1774-2440〕 / port.basic_data_loan_foreclosure_hold〔:466-768〕 / port.basic_data_loan_foreclosure_loss_mitigation〔:799-843〕 / port.basic_data_loan_foreclosure_bankruptcy〔:331-370〕 } → bpms.sync_* → 视图 → BPS</t>
        </is>
      </c>
    </row>
    <row r="12" ht="140" customHeight="1">
      <c r="A12" s="36" t="inlineStr">
        <is>
          <t>全部下游表：port.basic_data_loan_foreclosure、port.fcl_stage_info、port.basic_data_loan_foreclosure_hold、port.basic_data_loan_foreclosure_loss_mitigation、port.basic_data_loan_foreclosure_bankruptcy、bpms.sync_loan_foreclosure、bpms.sync_fcl_stage_info、bpms.sync_loan_foreclosure_hold、bpms.sync_loan_foreclosure_loss_mitigation、bpms.sync_loan_foreclosure_bankruptcy、bpms.biz_data_view_loan_details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8" t="inlineStr">
        <is>
          <t>字段</t>
        </is>
      </c>
      <c r="B14" s="8" t="inlineStr">
        <is>
          <t>7727000088</t>
        </is>
      </c>
      <c r="C14" s="8" t="inlineStr">
        <is>
          <t>7727000672</t>
        </is>
      </c>
      <c r="D14" s="8" t="inlineStr">
        <is>
          <t>7727004200</t>
        </is>
      </c>
      <c r="E14" s="8" t="inlineStr">
        <is>
          <t>7727000065</t>
        </is>
      </c>
      <c r="F14" s="8" t="inlineStr">
        <is>
          <t>7727000010</t>
        </is>
      </c>
    </row>
    <row r="15">
      <c r="A15" s="15" t="inlineStr">
        <is>
          <t>dataasof</t>
        </is>
      </c>
      <c r="B15" s="6" t="inlineStr">
        <is>
          <t>2026-06-04</t>
        </is>
      </c>
      <c r="C15" s="6" t="inlineStr">
        <is>
          <t>2026-06-04</t>
        </is>
      </c>
      <c r="D15" s="6" t="inlineStr">
        <is>
          <t>2026-06-04</t>
        </is>
      </c>
      <c r="E15" s="6" t="inlineStr">
        <is>
          <t>2026-06-04</t>
        </is>
      </c>
      <c r="F15" s="6" t="inlineStr">
        <is>
          <t>2026-06-04</t>
        </is>
      </c>
    </row>
    <row r="16">
      <c r="A16" s="15" t="inlineStr">
        <is>
          <t>loanid</t>
        </is>
      </c>
      <c r="B16" s="16" t="inlineStr">
        <is>
          <t>7727000088</t>
        </is>
      </c>
      <c r="C16" s="16" t="inlineStr">
        <is>
          <t>7727000672</t>
        </is>
      </c>
      <c r="D16" s="16" t="inlineStr">
        <is>
          <t>7727004200</t>
        </is>
      </c>
      <c r="E16" s="16" t="inlineStr">
        <is>
          <t>7727000065</t>
        </is>
      </c>
      <c r="F16" s="16" t="inlineStr">
        <is>
          <t>7727000010</t>
        </is>
      </c>
    </row>
    <row r="17">
      <c r="A17" s="15" t="inlineStr">
        <is>
          <t>servicer</t>
        </is>
      </c>
      <c r="B17" s="6" t="inlineStr">
        <is>
          <t>Newrez</t>
        </is>
      </c>
      <c r="C17" s="6" t="inlineStr">
        <is>
          <t>Newrez</t>
        </is>
      </c>
      <c r="D17" s="6" t="inlineStr">
        <is>
          <t>Newrez</t>
        </is>
      </c>
      <c r="E17" s="6" t="inlineStr">
        <is>
          <t>Newrez</t>
        </is>
      </c>
      <c r="F17" s="6" t="inlineStr">
        <is>
          <t>Newrez</t>
        </is>
      </c>
    </row>
    <row r="18">
      <c r="A18" s="15" t="inlineStr">
        <is>
          <t>svc_loanid</t>
        </is>
      </c>
      <c r="B18" s="16" t="inlineStr">
        <is>
          <t>1031718838</t>
        </is>
      </c>
      <c r="C18" s="16" t="inlineStr">
        <is>
          <t>1032761570</t>
        </is>
      </c>
      <c r="D18" s="16" t="inlineStr">
        <is>
          <t>0688132141</t>
        </is>
      </c>
      <c r="E18" s="16" t="inlineStr">
        <is>
          <t>1031718621</t>
        </is>
      </c>
      <c r="F18" s="16" t="inlineStr">
        <is>
          <t>1031718692</t>
        </is>
      </c>
    </row>
    <row r="19">
      <c r="A19" s="15" t="inlineStr">
        <is>
          <t>activefcflag</t>
        </is>
      </c>
      <c r="B19" s="6" t="inlineStr">
        <is>
          <t>0</t>
        </is>
      </c>
      <c r="C19" s="6" t="inlineStr">
        <is>
          <t>0</t>
        </is>
      </c>
      <c r="D19" s="6" t="inlineStr">
        <is>
          <t>0</t>
        </is>
      </c>
      <c r="E19" s="6" t="inlineStr">
        <is>
          <t>0</t>
        </is>
      </c>
      <c r="F19" s="6" t="inlineStr">
        <is>
          <t>0</t>
        </is>
      </c>
    </row>
    <row r="20">
      <c r="A20" s="15" t="inlineStr">
        <is>
          <t>titleordereddate</t>
        </is>
      </c>
      <c r="B20" s="16" t="inlineStr">
        <is>
          <t>—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2025-11-13</t>
        </is>
      </c>
      <c r="F20" s="16" t="inlineStr">
        <is>
          <t>—</t>
        </is>
      </c>
    </row>
    <row r="21">
      <c r="A21" s="15" t="inlineStr">
        <is>
          <t>titlereceiveddate</t>
        </is>
      </c>
      <c r="B21" s="6" t="inlineStr">
        <is>
          <t>—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2025-12-02</t>
        </is>
      </c>
      <c r="F21" s="6" t="inlineStr">
        <is>
          <t>—</t>
        </is>
      </c>
    </row>
    <row r="22">
      <c r="A22" s="15" t="inlineStr">
        <is>
          <t>titlecleardate</t>
        </is>
      </c>
      <c r="B22" s="16" t="inlineStr">
        <is>
          <t>—</t>
        </is>
      </c>
      <c r="C22" s="16" t="inlineStr">
        <is>
          <t>—</t>
        </is>
      </c>
      <c r="D22" s="16" t="inlineStr">
        <is>
          <t>—</t>
        </is>
      </c>
      <c r="E22" s="16" t="inlineStr">
        <is>
          <t>—</t>
        </is>
      </c>
      <c r="F22" s="16" t="inlineStr">
        <is>
          <t>—</t>
        </is>
      </c>
    </row>
    <row r="23">
      <c r="A23" s="15" t="inlineStr">
        <is>
          <t>noi_date</t>
        </is>
      </c>
      <c r="B23" s="6" t="inlineStr">
        <is>
          <t>—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</row>
    <row r="24">
      <c r="A24" s="15" t="inlineStr">
        <is>
          <t>fcsetupdate</t>
        </is>
      </c>
      <c r="B24" s="16" t="inlineStr">
        <is>
          <t>2025-05-23</t>
        </is>
      </c>
      <c r="C24" s="16" t="inlineStr">
        <is>
          <t>2026-03-09</t>
        </is>
      </c>
      <c r="D24" s="16" t="inlineStr">
        <is>
          <t>2025-06-27</t>
        </is>
      </c>
      <c r="E24" s="16" t="inlineStr">
        <is>
          <t>2025-02-03</t>
        </is>
      </c>
      <c r="F24" s="16" t="inlineStr">
        <is>
          <t>—</t>
        </is>
      </c>
    </row>
    <row r="25">
      <c r="A25" s="15" t="inlineStr">
        <is>
          <t>referral_start_date</t>
        </is>
      </c>
      <c r="B25" s="6" t="inlineStr">
        <is>
          <t>2025-05-23</t>
        </is>
      </c>
      <c r="C25" s="6" t="inlineStr">
        <is>
          <t>2026-03-09</t>
        </is>
      </c>
      <c r="D25" s="6" t="inlineStr">
        <is>
          <t>2025-06-27</t>
        </is>
      </c>
      <c r="E25" s="6" t="inlineStr">
        <is>
          <t>2025-02-03</t>
        </is>
      </c>
      <c r="F25" s="6" t="inlineStr">
        <is>
          <t>—</t>
        </is>
      </c>
    </row>
    <row r="26">
      <c r="A26" s="15" t="inlineStr">
        <is>
          <t>svc_days_infc</t>
        </is>
      </c>
      <c r="B26" s="16" t="inlineStr">
        <is>
          <t>368</t>
        </is>
      </c>
      <c r="C26" s="16" t="inlineStr">
        <is>
          <t>79</t>
        </is>
      </c>
      <c r="D26" s="16" t="inlineStr">
        <is>
          <t>294</t>
        </is>
      </c>
      <c r="E26" s="16" t="inlineStr">
        <is>
          <t>254</t>
        </is>
      </c>
      <c r="F26" s="16" t="inlineStr">
        <is>
          <t>—</t>
        </is>
      </c>
    </row>
    <row r="27">
      <c r="A27" s="15" t="inlineStr">
        <is>
          <t>daysinfc</t>
        </is>
      </c>
      <c r="B27" s="6" t="inlineStr">
        <is>
          <t>368</t>
        </is>
      </c>
      <c r="C27" s="6" t="inlineStr">
        <is>
          <t>79</t>
        </is>
      </c>
      <c r="D27" s="6" t="inlineStr">
        <is>
          <t>294</t>
        </is>
      </c>
      <c r="E27" s="6" t="inlineStr">
        <is>
          <t>254</t>
        </is>
      </c>
      <c r="F27" s="6" t="inlineStr">
        <is>
          <t>—</t>
        </is>
      </c>
    </row>
    <row r="28">
      <c r="A28" s="15" t="inlineStr">
        <is>
          <t>demandsentdate</t>
        </is>
      </c>
      <c r="B28" s="16" t="inlineStr">
        <is>
          <t>2025-02-18</t>
        </is>
      </c>
      <c r="C28" s="16" t="inlineStr">
        <is>
          <t>2025-11-17</t>
        </is>
      </c>
      <c r="D28" s="16" t="inlineStr">
        <is>
          <t>2025-05-20</t>
        </is>
      </c>
      <c r="E28" s="16" t="inlineStr">
        <is>
          <t>2024-08-12</t>
        </is>
      </c>
      <c r="F28" s="16" t="inlineStr">
        <is>
          <t>2026-04-10</t>
        </is>
      </c>
    </row>
    <row r="29">
      <c r="A29" s="15" t="inlineStr">
        <is>
          <t>demandexpirationdate</t>
        </is>
      </c>
      <c r="B29" s="6" t="inlineStr">
        <is>
          <t>2025-03-25</t>
        </is>
      </c>
      <c r="C29" s="6" t="inlineStr">
        <is>
          <t>2025-12-22</t>
        </is>
      </c>
      <c r="D29" s="6" t="inlineStr">
        <is>
          <t>2025-06-24</t>
        </is>
      </c>
      <c r="E29" s="6" t="inlineStr">
        <is>
          <t>2024-09-18</t>
        </is>
      </c>
      <c r="F29" s="6" t="inlineStr">
        <is>
          <t>2026-05-15</t>
        </is>
      </c>
    </row>
    <row r="30">
      <c r="A30" s="15" t="inlineStr">
        <is>
          <t>legal_start_date</t>
        </is>
      </c>
      <c r="B30" s="16" t="inlineStr">
        <is>
          <t>2025-06-13</t>
        </is>
      </c>
      <c r="C30" s="16" t="inlineStr">
        <is>
          <t>2026-03-25</t>
        </is>
      </c>
      <c r="D30" s="16" t="inlineStr">
        <is>
          <t>2025-07-21</t>
        </is>
      </c>
      <c r="E30" s="16" t="inlineStr">
        <is>
          <t>2025-03-27</t>
        </is>
      </c>
      <c r="F30" s="16" t="inlineStr">
        <is>
          <t>—</t>
        </is>
      </c>
    </row>
    <row r="31">
      <c r="A31" s="15" t="inlineStr">
        <is>
          <t>service_start_date</t>
        </is>
      </c>
      <c r="B31" s="6" t="inlineStr">
        <is>
          <t>2025-07-18</t>
        </is>
      </c>
      <c r="C31" s="6" t="inlineStr">
        <is>
          <t>—</t>
        </is>
      </c>
      <c r="D31" s="6" t="inlineStr">
        <is>
          <t>2025-12-24</t>
        </is>
      </c>
      <c r="E31" s="6" t="inlineStr">
        <is>
          <t>2025-05-03</t>
        </is>
      </c>
      <c r="F31" s="6" t="inlineStr">
        <is>
          <t>—</t>
        </is>
      </c>
    </row>
    <row r="32">
      <c r="A32" s="15" t="inlineStr">
        <is>
          <t>fcjudgment_hearing_scheduled</t>
        </is>
      </c>
      <c r="B32" s="16" t="inlineStr">
        <is>
          <t>2026-03-27</t>
        </is>
      </c>
      <c r="C32" s="16" t="inlineStr">
        <is>
          <t>—</t>
        </is>
      </c>
      <c r="D32" s="16" t="inlineStr">
        <is>
          <t>2026-04-13</t>
        </is>
      </c>
      <c r="E32" s="16" t="inlineStr">
        <is>
          <t>2025-10-15</t>
        </is>
      </c>
      <c r="F32" s="16" t="inlineStr">
        <is>
          <t>—</t>
        </is>
      </c>
    </row>
    <row r="33">
      <c r="A33" s="15" t="inlineStr">
        <is>
          <t>fcjudgment_end_date</t>
        </is>
      </c>
      <c r="B33" s="6" t="inlineStr">
        <is>
          <t>2026-04-08</t>
        </is>
      </c>
      <c r="C33" s="6" t="inlineStr">
        <is>
          <t>—</t>
        </is>
      </c>
      <c r="D33" s="6" t="inlineStr">
        <is>
          <t>2026-02-13</t>
        </is>
      </c>
      <c r="E33" s="6" t="inlineStr">
        <is>
          <t>2025-08-25</t>
        </is>
      </c>
      <c r="F33" s="6" t="inlineStr">
        <is>
          <t>—</t>
        </is>
      </c>
    </row>
    <row r="34">
      <c r="A34" s="15" t="inlineStr">
        <is>
          <t>fcscheduled_sale_date</t>
        </is>
      </c>
      <c r="B34" s="16" t="inlineStr">
        <is>
          <t>—</t>
        </is>
      </c>
      <c r="C34" s="16" t="inlineStr">
        <is>
          <t>—</t>
        </is>
      </c>
      <c r="D34" s="16" t="inlineStr">
        <is>
          <t>2026-05-19</t>
        </is>
      </c>
      <c r="E34" s="16" t="inlineStr">
        <is>
          <t>—</t>
        </is>
      </c>
      <c r="F34" s="16" t="inlineStr">
        <is>
          <t>—</t>
        </is>
      </c>
    </row>
    <row r="35">
      <c r="A35" s="15" t="inlineStr">
        <is>
          <t>fcsale_held_date</t>
        </is>
      </c>
      <c r="B35" s="6" t="inlineStr">
        <is>
          <t>2026-05-22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2025-10-14</t>
        </is>
      </c>
      <c r="F35" s="6" t="inlineStr">
        <is>
          <t>—</t>
        </is>
      </c>
    </row>
    <row r="36">
      <c r="A36" s="15" t="inlineStr">
        <is>
          <t>fcbidamount</t>
        </is>
      </c>
      <c r="B36" s="16" t="inlineStr">
        <is>
          <t>301500</t>
        </is>
      </c>
      <c r="C36" s="16" t="inlineStr">
        <is>
          <t>—</t>
        </is>
      </c>
      <c r="D36" s="16" t="inlineStr">
        <is>
          <t>—</t>
        </is>
      </c>
      <c r="E36" s="16" t="inlineStr">
        <is>
          <t>390832.5</t>
        </is>
      </c>
      <c r="F36" s="16" t="inlineStr">
        <is>
          <t>—</t>
        </is>
      </c>
    </row>
    <row r="37">
      <c r="A37" s="15" t="inlineStr">
        <is>
          <t>fcapprbidprice</t>
        </is>
      </c>
      <c r="B37" s="6" t="inlineStr">
        <is>
          <t>301500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390832.5</t>
        </is>
      </c>
      <c r="F37" s="6" t="inlineStr">
        <is>
          <t>—</t>
        </is>
      </c>
    </row>
    <row r="38">
      <c r="A38" s="15" t="inlineStr">
        <is>
          <t>fcsaleamount</t>
        </is>
      </c>
      <c r="B38" s="16" t="inlineStr">
        <is>
          <t>200100</t>
        </is>
      </c>
      <c r="C38" s="16" t="inlineStr">
        <is>
          <t>—</t>
        </is>
      </c>
      <c r="D38" s="16" t="inlineStr">
        <is>
          <t>—</t>
        </is>
      </c>
      <c r="E38" s="16" t="inlineStr">
        <is>
          <t>357200</t>
        </is>
      </c>
      <c r="F38" s="16" t="inlineStr">
        <is>
          <t>—</t>
        </is>
      </c>
    </row>
    <row r="39">
      <c r="A39" s="15" t="inlineStr">
        <is>
          <t>fcl3rdpartyproceedsreceiveddate</t>
        </is>
      </c>
      <c r="B39" s="6" t="inlineStr">
        <is>
          <t>—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</row>
    <row r="40">
      <c r="A40" s="15" t="inlineStr">
        <is>
          <t>fcresults</t>
        </is>
      </c>
      <c r="B40" s="16" t="inlineStr">
        <is>
          <t>REO</t>
        </is>
      </c>
      <c r="C40" s="16" t="inlineStr">
        <is>
          <t>—</t>
        </is>
      </c>
      <c r="D40" s="16" t="inlineStr">
        <is>
          <t>—</t>
        </is>
      </c>
      <c r="E40" s="16" t="inlineStr">
        <is>
          <t>REO</t>
        </is>
      </c>
      <c r="F40" s="16" t="inlineStr">
        <is>
          <t>—</t>
        </is>
      </c>
    </row>
    <row r="41">
      <c r="A41" s="15" t="inlineStr">
        <is>
          <t>fcstage</t>
        </is>
      </c>
      <c r="B41" s="6" t="inlineStr">
        <is>
          <t>Post Sale Review (SCRA and PACER Check)</t>
        </is>
      </c>
      <c r="C41" s="6" t="inlineStr">
        <is>
          <t>Pre-Sale Review 1 (SCRA and PACER Check)</t>
        </is>
      </c>
      <c r="D41" s="6" t="inlineStr">
        <is>
          <t>Pre-Sale Review 1 (SCRA and PACER Check)</t>
        </is>
      </c>
      <c r="E41" s="6" t="inlineStr">
        <is>
          <t>Post Sale Review (SCRA and PACER Check)</t>
        </is>
      </c>
      <c r="F41" s="6" t="inlineStr">
        <is>
          <t>—</t>
        </is>
      </c>
    </row>
    <row r="42">
      <c r="A42" s="15" t="inlineStr">
        <is>
          <t>lastfcstepcompleted</t>
        </is>
      </c>
      <c r="B42" s="16" t="inlineStr">
        <is>
          <t>Post Sale Review (SCRA and PACER Check)</t>
        </is>
      </c>
      <c r="C42" s="16" t="inlineStr">
        <is>
          <t>First Publication</t>
        </is>
      </c>
      <c r="D42" s="16" t="inlineStr">
        <is>
          <t>Sale Scheduled For</t>
        </is>
      </c>
      <c r="E42" s="16" t="inlineStr">
        <is>
          <t>Post Sale Review (SCRA and PACER Check)</t>
        </is>
      </c>
      <c r="F42" s="16" t="inlineStr">
        <is>
          <t>—</t>
        </is>
      </c>
    </row>
    <row r="43">
      <c r="A43" s="15" t="inlineStr">
        <is>
          <t>lastfcstepcompleteddate</t>
        </is>
      </c>
      <c r="B43" s="6" t="inlineStr">
        <is>
          <t>2026-05-26</t>
        </is>
      </c>
      <c r="C43" s="6" t="inlineStr">
        <is>
          <t>2026-03-25</t>
        </is>
      </c>
      <c r="D43" s="6" t="inlineStr">
        <is>
          <t>2026-05-19</t>
        </is>
      </c>
      <c r="E43" s="6" t="inlineStr">
        <is>
          <t>2025-10-15</t>
        </is>
      </c>
      <c r="F43" s="6" t="inlineStr">
        <is>
          <t>—</t>
        </is>
      </c>
    </row>
    <row r="44">
      <c r="A44" s="15" t="inlineStr">
        <is>
          <t>fcremovaldesc</t>
        </is>
      </c>
      <c r="B44" s="16" t="inlineStr">
        <is>
          <t>Process Complete</t>
        </is>
      </c>
      <c r="C44" s="16" t="inlineStr">
        <is>
          <t>Loss Mitigation</t>
        </is>
      </c>
      <c r="D44" s="16" t="inlineStr">
        <is>
          <t>Paid in Full</t>
        </is>
      </c>
      <c r="E44" s="16" t="inlineStr">
        <is>
          <t>Process Complete</t>
        </is>
      </c>
      <c r="F44" s="16" t="inlineStr">
        <is>
          <t>—</t>
        </is>
      </c>
    </row>
    <row r="45">
      <c r="A45" s="15" t="inlineStr">
        <is>
          <t>fcremovaldate</t>
        </is>
      </c>
      <c r="B45" s="6" t="inlineStr">
        <is>
          <t>2026-05-26</t>
        </is>
      </c>
      <c r="C45" s="6" t="inlineStr">
        <is>
          <t>2026-05-27</t>
        </is>
      </c>
      <c r="D45" s="6" t="inlineStr">
        <is>
          <t>2026-04-17</t>
        </is>
      </c>
      <c r="E45" s="6" t="inlineStr">
        <is>
          <t>2025-10-15</t>
        </is>
      </c>
      <c r="F45" s="6" t="inlineStr">
        <is>
          <t>—</t>
        </is>
      </c>
    </row>
    <row r="46">
      <c r="A46" s="15" t="inlineStr">
        <is>
          <t>judicial</t>
        </is>
      </c>
      <c r="B46" s="16" t="inlineStr">
        <is>
          <t>1.0</t>
        </is>
      </c>
      <c r="C46" s="16" t="inlineStr">
        <is>
          <t>0.0</t>
        </is>
      </c>
      <c r="D46" s="16" t="inlineStr">
        <is>
          <t>1.0</t>
        </is>
      </c>
      <c r="E46" s="16" t="inlineStr">
        <is>
          <t>1.0</t>
        </is>
      </c>
      <c r="F46" s="16" t="inlineStr">
        <is>
          <t>—</t>
        </is>
      </c>
    </row>
    <row r="47">
      <c r="A47" s="15" t="inlineStr">
        <is>
          <t>fcfirm</t>
        </is>
      </c>
      <c r="B47" s="6" t="inlineStr">
        <is>
          <t>Kelley Kronenberg, P.A.</t>
        </is>
      </c>
      <c r="C47" s="6" t="inlineStr">
        <is>
          <t>Orlans Law Group PLLC</t>
        </is>
      </c>
      <c r="D47" s="6" t="inlineStr">
        <is>
          <t>Johnson, Blumberg &amp; Associates, LLC</t>
        </is>
      </c>
      <c r="E47" s="6" t="inlineStr">
        <is>
          <t>RAS (Primary)</t>
        </is>
      </c>
      <c r="F47" s="6" t="inlineStr">
        <is>
          <t>—</t>
        </is>
      </c>
    </row>
    <row r="48">
      <c r="A48" s="15" t="inlineStr">
        <is>
          <t>fccontestedflag</t>
        </is>
      </c>
      <c r="B48" s="16" t="inlineStr">
        <is>
          <t>0</t>
        </is>
      </c>
      <c r="C48" s="16" t="inlineStr">
        <is>
          <t>0</t>
        </is>
      </c>
      <c r="D48" s="16" t="inlineStr">
        <is>
          <t>0</t>
        </is>
      </c>
      <c r="E48" s="16" t="inlineStr">
        <is>
          <t>0</t>
        </is>
      </c>
      <c r="F48" s="16" t="inlineStr">
        <is>
          <t>0</t>
        </is>
      </c>
    </row>
    <row r="49">
      <c r="A49" s="15" t="inlineStr">
        <is>
          <t>jr_sr_lien_flag</t>
        </is>
      </c>
      <c r="B49" s="6" t="inlineStr">
        <is>
          <t>1.0</t>
        </is>
      </c>
      <c r="C49" s="6" t="inlineStr">
        <is>
          <t>1.0</t>
        </is>
      </c>
      <c r="D49" s="6" t="inlineStr">
        <is>
          <t>1.0</t>
        </is>
      </c>
      <c r="E49" s="6" t="inlineStr">
        <is>
          <t>1.0</t>
        </is>
      </c>
      <c r="F49" s="6" t="inlineStr">
        <is>
          <t>—</t>
        </is>
      </c>
    </row>
    <row r="50">
      <c r="A50" s="15" t="inlineStr">
        <is>
          <t>dtdeedrecorded</t>
        </is>
      </c>
      <c r="B50" s="16" t="inlineStr">
        <is>
          <t>—</t>
        </is>
      </c>
      <c r="C50" s="16" t="inlineStr">
        <is>
          <t>—</t>
        </is>
      </c>
      <c r="D50" s="16" t="inlineStr">
        <is>
          <t>—</t>
        </is>
      </c>
      <c r="E50" s="16" t="inlineStr">
        <is>
          <t>2025-10-28</t>
        </is>
      </c>
      <c r="F50" s="16" t="inlineStr">
        <is>
          <t>—</t>
        </is>
      </c>
    </row>
    <row r="51">
      <c r="A51" s="15" t="inlineStr">
        <is>
          <t>activejnrlienfcflag</t>
        </is>
      </c>
      <c r="B51" s="6" t="inlineStr">
        <is>
          <t>0</t>
        </is>
      </c>
      <c r="C51" s="6" t="inlineStr">
        <is>
          <t>0</t>
        </is>
      </c>
      <c r="D51" s="6" t="inlineStr">
        <is>
          <t>0</t>
        </is>
      </c>
      <c r="E51" s="6" t="inlineStr">
        <is>
          <t>0</t>
        </is>
      </c>
      <c r="F51" s="6" t="inlineStr">
        <is>
          <t>0</t>
        </is>
      </c>
    </row>
    <row r="52">
      <c r="A52" s="15" t="inlineStr">
        <is>
          <t>fchold1description</t>
        </is>
      </c>
      <c r="B52" s="16" t="inlineStr">
        <is>
          <t>Court Delay</t>
        </is>
      </c>
      <c r="C52" s="16" t="inlineStr">
        <is>
          <t>Delinquency Review</t>
        </is>
      </c>
      <c r="D52" s="16" t="inlineStr">
        <is>
          <t>Delinquency Review</t>
        </is>
      </c>
      <c r="E52" s="16" t="inlineStr">
        <is>
          <t>Court Delay</t>
        </is>
      </c>
      <c r="F52" s="16" t="inlineStr">
        <is>
          <t>—</t>
        </is>
      </c>
    </row>
    <row r="53">
      <c r="A53" s="15" t="inlineStr">
        <is>
          <t>fchold1startdate</t>
        </is>
      </c>
      <c r="B53" s="6" t="inlineStr">
        <is>
          <t>2026-04-09</t>
        </is>
      </c>
      <c r="C53" s="6" t="inlineStr">
        <is>
          <t>2026-05-12</t>
        </is>
      </c>
      <c r="D53" s="6" t="inlineStr">
        <is>
          <t>2026-04-17</t>
        </is>
      </c>
      <c r="E53" s="6" t="inlineStr">
        <is>
          <t>2025-08-26</t>
        </is>
      </c>
      <c r="F53" s="6" t="inlineStr">
        <is>
          <t>—</t>
        </is>
      </c>
    </row>
    <row r="54">
      <c r="A54" s="15" t="inlineStr">
        <is>
          <t>fchold1enddate</t>
        </is>
      </c>
      <c r="B54" s="16" t="inlineStr">
        <is>
          <t>2026-04-26</t>
        </is>
      </c>
      <c r="C54" s="16" t="inlineStr">
        <is>
          <t>2026-05-27</t>
        </is>
      </c>
      <c r="D54" s="16" t="inlineStr">
        <is>
          <t>2026-04-17</t>
        </is>
      </c>
      <c r="E54" s="16" t="inlineStr">
        <is>
          <t>2025-08-28</t>
        </is>
      </c>
      <c r="F54" s="16" t="inlineStr">
        <is>
          <t>—</t>
        </is>
      </c>
    </row>
    <row r="55">
      <c r="A55" s="15" t="inlineStr">
        <is>
          <t>fchold1projectedenddate</t>
        </is>
      </c>
      <c r="B55" s="6" t="inlineStr">
        <is>
          <t>2026-04-29</t>
        </is>
      </c>
      <c r="C55" s="6" t="inlineStr">
        <is>
          <t>2026-07-11</t>
        </is>
      </c>
      <c r="D55" s="6" t="inlineStr">
        <is>
          <t>2026-06-16</t>
        </is>
      </c>
      <c r="E55" s="6" t="inlineStr">
        <is>
          <t>2025-09-15</t>
        </is>
      </c>
      <c r="F55" s="6" t="inlineStr">
        <is>
          <t>—</t>
        </is>
      </c>
    </row>
    <row r="56">
      <c r="A56" s="15" t="inlineStr">
        <is>
          <t>fchold1comment</t>
        </is>
      </c>
      <c r="B56" s="16" t="inlineStr">
        <is>
          <t>Delay Reason: Pending Ruling on Judgment, Hold Start Date: 2026-04-09, Date of Delay: 2026-04-06, Anticipated Resolution ETA: 2026-04-29, Additional Detail On Delay: We are pending judge's execution of the  proposed Order</t>
        </is>
      </c>
      <c r="C56" s="16" t="inlineStr">
        <is>
          <t>Delinquency Review</t>
        </is>
      </c>
      <c r="D56" s="16" t="inlineStr">
        <is>
          <t>Delinquency Review</t>
        </is>
      </c>
      <c r="E56" s="16" t="inlineStr">
        <is>
          <t xml:space="preserve">Delay Reason: Pending Judges Decision/Ruling, Hold Start Date: 2025-08-26, Date of Delay: 2025-08-13, Anticipated Resolution ETA: 2025-09-15, Additional Detail On Delay: The Final Judgment was granted at NJT held 8/25/2025. At this time firm is pending the executed final Judgment with sale date scheduled to be docketed with the court a requirement to complete the Judgment entered. </t>
        </is>
      </c>
      <c r="F56" s="16" t="inlineStr">
        <is>
          <t>—</t>
        </is>
      </c>
    </row>
    <row r="57">
      <c r="A57" s="15" t="inlineStr">
        <is>
          <t>holdmodified</t>
        </is>
      </c>
      <c r="B57" s="6" t="inlineStr">
        <is>
          <t>2026-04-27</t>
        </is>
      </c>
      <c r="C57" s="6" t="inlineStr">
        <is>
          <t>2026-05-27</t>
        </is>
      </c>
      <c r="D57" s="6" t="inlineStr">
        <is>
          <t>2026-04-17</t>
        </is>
      </c>
      <c r="E57" s="6" t="inlineStr">
        <is>
          <t>2025-08-29</t>
        </is>
      </c>
      <c r="F57" s="6" t="inlineStr">
        <is>
          <t>—</t>
        </is>
      </c>
    </row>
    <row r="58">
      <c r="A58" s="15" t="inlineStr">
        <is>
          <t>fchold2description</t>
        </is>
      </c>
      <c r="B58" s="16" t="inlineStr">
        <is>
          <t>Hearing Set</t>
        </is>
      </c>
      <c r="C58" s="16" t="inlineStr">
        <is>
          <t>Loss Mitigation Workout</t>
        </is>
      </c>
      <c r="D58" s="16" t="inlineStr">
        <is>
          <t>Hearing Set</t>
        </is>
      </c>
      <c r="E58" s="16" t="inlineStr">
        <is>
          <t>Court Delay</t>
        </is>
      </c>
      <c r="F58" s="16" t="inlineStr">
        <is>
          <t>—</t>
        </is>
      </c>
    </row>
    <row r="59">
      <c r="A59" s="15" t="inlineStr">
        <is>
          <t>fchold2startdate</t>
        </is>
      </c>
      <c r="B59" s="6" t="inlineStr">
        <is>
          <t>2026-03-16</t>
        </is>
      </c>
      <c r="C59" s="6" t="inlineStr">
        <is>
          <t>2026-03-25</t>
        </is>
      </c>
      <c r="D59" s="6" t="inlineStr">
        <is>
          <t>2026-01-29</t>
        </is>
      </c>
      <c r="E59" s="6" t="inlineStr">
        <is>
          <t>2025-07-02</t>
        </is>
      </c>
      <c r="F59" s="6" t="inlineStr">
        <is>
          <t>—</t>
        </is>
      </c>
    </row>
    <row r="60">
      <c r="A60" s="15" t="inlineStr">
        <is>
          <t>fchold2enddate</t>
        </is>
      </c>
      <c r="B60" s="16" t="inlineStr">
        <is>
          <t>2026-04-07</t>
        </is>
      </c>
      <c r="C60" s="16" t="inlineStr">
        <is>
          <t>2026-05-27</t>
        </is>
      </c>
      <c r="D60" s="16" t="inlineStr">
        <is>
          <t>2026-02-13</t>
        </is>
      </c>
      <c r="E60" s="16" t="inlineStr">
        <is>
          <t>2025-07-14</t>
        </is>
      </c>
      <c r="F60" s="16" t="inlineStr">
        <is>
          <t>—</t>
        </is>
      </c>
    </row>
    <row r="61">
      <c r="A61" s="15" t="inlineStr">
        <is>
          <t>fchold2projectedenddate</t>
        </is>
      </c>
      <c r="B61" s="6" t="inlineStr">
        <is>
          <t>2026-04-06</t>
        </is>
      </c>
      <c r="C61" s="6" t="inlineStr">
        <is>
          <t>2026-06-01</t>
        </is>
      </c>
      <c r="D61" s="6" t="inlineStr">
        <is>
          <t>2026-02-13</t>
        </is>
      </c>
      <c r="E61" s="6" t="inlineStr">
        <is>
          <t>2025-07-22</t>
        </is>
      </c>
      <c r="F61" s="6" t="inlineStr">
        <is>
          <t>—</t>
        </is>
      </c>
    </row>
    <row r="62">
      <c r="A62" s="15" t="inlineStr">
        <is>
          <t>fchold2comment</t>
        </is>
      </c>
      <c r="B62" s="16" t="inlineStr">
        <is>
          <t>Hearing scheduled for 04/06/2026, Additional Detail: Plaintiff's Motion for Summary Judgment scheduled for 4.6.26. Please end court delay hold. Thanks</t>
        </is>
      </c>
      <c r="C62" s="16" t="inlineStr">
        <is>
          <t>BRP Complete:  Complete Ack Sent:  RPP Approved: 03/24/2026 RPP Payments Due: 6 Last RPP Payment Made: 05/12/2026 Next Payment Due: 06/01/2026</t>
        </is>
      </c>
      <c r="D62" s="16" t="inlineStr">
        <is>
          <t>RID: 861849328; Judgment hearing scheduled for 2/13/26</t>
        </is>
      </c>
      <c r="E62" s="16" t="inlineStr">
        <is>
          <t xml:space="preserve">Delay Reason: Pending Judges Decision/Ruling, Hold Start Date: 2025-07-02, Date of Delay: 2025-07-01, Anticipated Resolution ETA: 2025-07-22, Additional Detail On Delay: Pending court's ruling on the Plaintiff's motion for clerk's default. </t>
        </is>
      </c>
      <c r="F62" s="16" t="inlineStr">
        <is>
          <t>—</t>
        </is>
      </c>
    </row>
    <row r="63">
      <c r="A63" s="15" t="inlineStr">
        <is>
          <t>holdmodified2</t>
        </is>
      </c>
      <c r="B63" s="6" t="inlineStr">
        <is>
          <t>2026-04-07</t>
        </is>
      </c>
      <c r="C63" s="6" t="inlineStr">
        <is>
          <t>2026-05-27</t>
        </is>
      </c>
      <c r="D63" s="6" t="inlineStr">
        <is>
          <t>2026-02-13</t>
        </is>
      </c>
      <c r="E63" s="6" t="inlineStr">
        <is>
          <t>2025-07-15</t>
        </is>
      </c>
      <c r="F63" s="6" t="inlineStr">
        <is>
          <t>—</t>
        </is>
      </c>
    </row>
    <row r="64">
      <c r="A64" s="15" t="inlineStr">
        <is>
          <t>fchold3description</t>
        </is>
      </c>
      <c r="B64" s="16" t="inlineStr">
        <is>
          <t>Court Delay</t>
        </is>
      </c>
      <c r="C64" s="16" t="inlineStr">
        <is>
          <t>—</t>
        </is>
      </c>
      <c r="D64" s="16" t="inlineStr">
        <is>
          <t>Service Delay</t>
        </is>
      </c>
      <c r="E64" s="16" t="inlineStr">
        <is>
          <t>Bankruptcy Filed</t>
        </is>
      </c>
      <c r="F64" s="16" t="inlineStr">
        <is>
          <t>—</t>
        </is>
      </c>
    </row>
    <row r="65">
      <c r="A65" s="15" t="inlineStr">
        <is>
          <t>fchold3startdate</t>
        </is>
      </c>
      <c r="B65" s="6" t="inlineStr">
        <is>
          <t>2026-01-16</t>
        </is>
      </c>
      <c r="C65" s="6" t="inlineStr">
        <is>
          <t>—</t>
        </is>
      </c>
      <c r="D65" s="6" t="inlineStr">
        <is>
          <t>2025-12-30</t>
        </is>
      </c>
      <c r="E65" s="6" t="inlineStr">
        <is>
          <t>2025-05-06</t>
        </is>
      </c>
      <c r="F65" s="6" t="inlineStr">
        <is>
          <t>—</t>
        </is>
      </c>
    </row>
    <row r="66">
      <c r="A66" s="15" t="inlineStr">
        <is>
          <t>fchold3enddate</t>
        </is>
      </c>
      <c r="B66" s="16" t="inlineStr">
        <is>
          <t>2026-03-16</t>
        </is>
      </c>
      <c r="C66" s="16" t="inlineStr">
        <is>
          <t>—</t>
        </is>
      </c>
      <c r="D66" s="16" t="inlineStr">
        <is>
          <t>2026-01-23</t>
        </is>
      </c>
      <c r="E66" s="16" t="inlineStr">
        <is>
          <t>2025-06-27</t>
        </is>
      </c>
      <c r="F66" s="16" t="inlineStr">
        <is>
          <t>—</t>
        </is>
      </c>
    </row>
    <row r="67">
      <c r="A67" s="15" t="inlineStr">
        <is>
          <t>fchold3projectedenddate</t>
        </is>
      </c>
      <c r="B67" s="6" t="inlineStr">
        <is>
          <t>2026-03-17</t>
        </is>
      </c>
      <c r="C67" s="6" t="inlineStr">
        <is>
          <t>—</t>
        </is>
      </c>
      <c r="D67" s="6" t="inlineStr">
        <is>
          <t>2026-01-23</t>
        </is>
      </c>
      <c r="E67" s="6" t="inlineStr">
        <is>
          <t>2025-07-07</t>
        </is>
      </c>
      <c r="F67" s="6" t="inlineStr">
        <is>
          <t>—</t>
        </is>
      </c>
    </row>
    <row r="68">
      <c r="A68" s="15" t="inlineStr">
        <is>
          <t>fchold3comment</t>
        </is>
      </c>
      <c r="B68" s="16" t="inlineStr">
        <is>
          <t>Delay Reason: Pending Hearing Date for Judgment, Hold Start Date: 2026-01-16, Date of Delay: 2026-01-19, Anticipated Resolution ETA: 2026-03-17, Additional Detail On Delay: We have reached out to the JA for dates in April and is pending a response. The JA had advised there were only limited dates. Pending response to proceed., Actions Taken by the Firm: Called the court, Most Recent Follow-Up Date: 02/20/2026, Additional Info:  We have reached out to the JA for dates in April and is pending a response. The JA had advised there were only limited dates. Pending response to proceed.</t>
        </is>
      </c>
      <c r="C68" s="16" t="inlineStr">
        <is>
          <t>—</t>
        </is>
      </c>
      <c r="D68" s="16" t="inlineStr">
        <is>
          <t xml:space="preserve">Due to title identifying the incorrect HOA, the new correct HOA had to be served.  The HOA was served 12/24/25 and the time period for the correct HOA to file their Answer does not expire until 1-23-2026.  See Step 9.  We cannot proceed to judgment until after 1-23-2026.  </t>
        </is>
      </c>
      <c r="E68" s="16" t="inlineStr">
        <is>
          <t>CaseNumber: 2500228 Chapter: 7 Filed Date: 04/30/2025 POC Bar Date:  Post-Petition Due Date:  MFR Referral Date: 05/15/2025 MFR Filed Date: 06/10/2025 MFR Granted Date:  Dismissal Date:</t>
        </is>
      </c>
      <c r="F68" s="16" t="inlineStr">
        <is>
          <t>—</t>
        </is>
      </c>
    </row>
    <row r="69">
      <c r="A69" s="15" t="inlineStr">
        <is>
          <t>holdmodified3</t>
        </is>
      </c>
      <c r="B69" s="6" t="inlineStr">
        <is>
          <t>2026-03-17</t>
        </is>
      </c>
      <c r="C69" s="6" t="inlineStr">
        <is>
          <t>—</t>
        </is>
      </c>
      <c r="D69" s="6" t="inlineStr">
        <is>
          <t>2026-01-23</t>
        </is>
      </c>
      <c r="E69" s="6" t="inlineStr">
        <is>
          <t>2025-06-27</t>
        </is>
      </c>
      <c r="F69" s="6" t="inlineStr">
        <is>
          <t>—</t>
        </is>
      </c>
    </row>
    <row r="70">
      <c r="A70" s="15" t="inlineStr">
        <is>
          <t>fchold4description</t>
        </is>
      </c>
      <c r="B70" s="16" t="inlineStr">
        <is>
          <t>—</t>
        </is>
      </c>
      <c r="C70" s="16" t="inlineStr">
        <is>
          <t>—</t>
        </is>
      </c>
      <c r="D70" s="16" t="inlineStr">
        <is>
          <t>—</t>
        </is>
      </c>
      <c r="E70" s="16" t="inlineStr">
        <is>
          <t>—</t>
        </is>
      </c>
      <c r="F70" s="16" t="inlineStr">
        <is>
          <t>—</t>
        </is>
      </c>
    </row>
    <row r="71">
      <c r="A71" s="15" t="inlineStr">
        <is>
          <t>fchold4startdate</t>
        </is>
      </c>
      <c r="B71" s="6" t="inlineStr">
        <is>
          <t>—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</row>
    <row r="72">
      <c r="A72" s="15" t="inlineStr">
        <is>
          <t>fchold4enddate</t>
        </is>
      </c>
      <c r="B72" s="16" t="inlineStr">
        <is>
          <t>—</t>
        </is>
      </c>
      <c r="C72" s="16" t="inlineStr">
        <is>
          <t>—</t>
        </is>
      </c>
      <c r="D72" s="16" t="inlineStr">
        <is>
          <t>—</t>
        </is>
      </c>
      <c r="E72" s="16" t="inlineStr">
        <is>
          <t>—</t>
        </is>
      </c>
      <c r="F72" s="16" t="inlineStr">
        <is>
          <t>—</t>
        </is>
      </c>
    </row>
    <row r="73">
      <c r="A73" s="15" t="inlineStr">
        <is>
          <t>fchold4projectedenddate</t>
        </is>
      </c>
      <c r="B73" s="6" t="inlineStr">
        <is>
          <t>—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</row>
    <row r="74">
      <c r="A74" s="15" t="inlineStr">
        <is>
          <t>fchold4comment</t>
        </is>
      </c>
      <c r="B74" s="16" t="inlineStr">
        <is>
          <t>—</t>
        </is>
      </c>
      <c r="C74" s="16" t="inlineStr">
        <is>
          <t>—</t>
        </is>
      </c>
      <c r="D74" s="16" t="inlineStr">
        <is>
          <t>—</t>
        </is>
      </c>
      <c r="E74" s="16" t="inlineStr">
        <is>
          <t>—</t>
        </is>
      </c>
      <c r="F74" s="16" t="inlineStr">
        <is>
          <t>—</t>
        </is>
      </c>
    </row>
    <row r="75">
      <c r="A75" s="15" t="inlineStr">
        <is>
          <t>holdmodified4</t>
        </is>
      </c>
      <c r="B75" s="6" t="inlineStr">
        <is>
          <t>—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</row>
  </sheetData>
  <mergeCells count="13">
    <mergeCell ref="A2:F2"/>
    <mergeCell ref="A11:F11"/>
    <mergeCell ref="A10:F10"/>
    <mergeCell ref="A13:F13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6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7" t="inlineStr">
        <is>
          <t>port.basic_data_loan_foreclosure — Redshift FCL 聚合表（1 行/贷款，sync_loan_foreclosure 的直接上游）</t>
        </is>
      </c>
    </row>
    <row r="2">
      <c r="A2" s="13" t="inlineStr">
        <is>
          <t>全 62 字段 · 取数口径：dataasof=MAX(每贷款) · 命中 5/5 贷款（无行的贷款列显示 —） · prod 实测 2026-06-04 · 业务日 2026-06-01</t>
        </is>
      </c>
    </row>
    <row r="3" ht="56" customHeight="1">
      <c r="A3" s="14" t="inlineStr">
        <is>
          <t>查询 SQL（prod 只读）：
-- port.basic_data_loan_foreclosure · redshift_prod(只读) · 每贷款 dataasof=MAX(最新快照) · 业务日 2026-06-01
SELECT t.* FROM port.basic_data_loan_foreclosure t JOIN (SELECT loanid, MAX(dataasof) AS _md FROM port.basic_data_loan_foreclosure WHERE loanid IN ('7727000088','7727000672','7727004200','7727000065','7727000010') GROUP BY loanid) m ON t.loanid=m.loanid AND t.dataasof=m._md;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75" customHeight="1">
      <c r="A5" s="36" t="inlineStr">
        <is>
          <t>业务含义/目的：Redshift FCL 聚合表(1 行/贷款)——一笔贷款端到端法拍时间线：各里程碑日期、当前状态(summary_foreclosure_status)、司法标志、在法拍天数(summary_days_in_fcl)。 bpms.sync_loan_foreclosure(BPS 主表)的直接上游；法拍主视图的数据底座。</t>
        </is>
      </c>
    </row>
    <row r="6" ht="30" customHeight="1">
      <c r="A6" s="36" t="inlineStr">
        <is>
          <t>何时来查：查某贷款法拍‘何时进入各里程碑/当前状态/在法拍多少天/为何退出’。</t>
        </is>
      </c>
    </row>
    <row r="7" ht="45" customHeight="1">
      <c r="A7" s="36" t="inlineStr">
        <is>
          <t>为什么这样处理：把事实表里散落的里程碑/状态按业务规则(GEN_FCL_DETAIL CASE)收敛成 1 行/贷款的可读时间线；退出原因直接取 servicer 的 fcremovaldesc(无解码表)。</t>
        </is>
      </c>
    </row>
    <row r="8" ht="18" customHeight="1">
      <c r="A8" s="36" t="inlineStr">
        <is>
          <t>数据粒度：1 行/贷款（含在途 + 已结）。</t>
        </is>
      </c>
    </row>
    <row r="9" ht="75" customHeight="1">
      <c r="A9" s="36" t="inlineStr">
        <is>
          <t>上游链路：… → port.basic_data_loan_fcl → port.basic_data_loan_foreclosure〔GEN_FCL_DETAIL basic_data_pool_config.py:253-305；状态 CASE :273；司法 :277-279；在法拍天数 :1628〕</t>
        </is>
      </c>
    </row>
    <row r="10" ht="45" customHeight="1">
      <c r="A10" s="36" t="inlineStr">
        <is>
          <t>全部上游表：port.basic_data_loan_fcl、tempfc.temp_basic_data_fcl、newrez.portnewrezfc、Servicer 文件(L0)</t>
        </is>
      </c>
    </row>
    <row r="11" ht="120" customHeight="1">
      <c r="A11" s="36" t="inlineStr">
        <is>
          <t>下游链路：basic_data_loan_foreclosure → (Redshift→MySQL 同步 df_db_util.py:665-699 sync_to_mysql / 702-726 update_to_mysql) → bpms.sync_loan_foreclosure〔GEN_FORECLOSURE asset_managment_config.py:535-608；实时天数校正 :597-598〕 → bpms.biz_data_view_loan_details_foreclosure(视图) → BPS Summary/Timeline 面板</t>
        </is>
      </c>
    </row>
    <row r="12" ht="45" customHeight="1">
      <c r="A12" s="36" t="inlineStr">
        <is>
          <t>全部下游表：bpms.sync_loan_foreclosure、bpms.biz_data_view_loan_details_foreclosure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8" t="inlineStr">
        <is>
          <t>字段</t>
        </is>
      </c>
      <c r="B14" s="8" t="inlineStr">
        <is>
          <t>7727000088</t>
        </is>
      </c>
      <c r="C14" s="8" t="inlineStr">
        <is>
          <t>7727000672</t>
        </is>
      </c>
      <c r="D14" s="8" t="inlineStr">
        <is>
          <t>7727004200</t>
        </is>
      </c>
      <c r="E14" s="8" t="inlineStr">
        <is>
          <t>7727000065</t>
        </is>
      </c>
      <c r="F14" s="8" t="inlineStr">
        <is>
          <t>7727000010</t>
        </is>
      </c>
    </row>
    <row r="15">
      <c r="A15" s="15" t="inlineStr">
        <is>
          <t>dataasof</t>
        </is>
      </c>
      <c r="B15" s="6" t="inlineStr">
        <is>
          <t>2026-06-04</t>
        </is>
      </c>
      <c r="C15" s="6" t="inlineStr">
        <is>
          <t>2026-06-04</t>
        </is>
      </c>
      <c r="D15" s="6" t="inlineStr">
        <is>
          <t>2026-06-04</t>
        </is>
      </c>
      <c r="E15" s="6" t="inlineStr">
        <is>
          <t>2026-06-04</t>
        </is>
      </c>
      <c r="F15" s="6" t="inlineStr">
        <is>
          <t>2026-06-04</t>
        </is>
      </c>
    </row>
    <row r="16">
      <c r="A16" s="15" t="inlineStr">
        <is>
          <t>loanid</t>
        </is>
      </c>
      <c r="B16" s="16" t="inlineStr">
        <is>
          <t>7727000088</t>
        </is>
      </c>
      <c r="C16" s="16" t="inlineStr">
        <is>
          <t>7727000672</t>
        </is>
      </c>
      <c r="D16" s="16" t="inlineStr">
        <is>
          <t>7727004200</t>
        </is>
      </c>
      <c r="E16" s="16" t="inlineStr">
        <is>
          <t>7727000065</t>
        </is>
      </c>
      <c r="F16" s="16" t="inlineStr">
        <is>
          <t>7727000010</t>
        </is>
      </c>
    </row>
    <row r="17">
      <c r="A17" s="15" t="inlineStr">
        <is>
          <t>svcloanid</t>
        </is>
      </c>
      <c r="B17" s="6" t="inlineStr">
        <is>
          <t>1031718838</t>
        </is>
      </c>
      <c r="C17" s="6" t="inlineStr">
        <is>
          <t>1032761570</t>
        </is>
      </c>
      <c r="D17" s="6" t="inlineStr">
        <is>
          <t>0688132141</t>
        </is>
      </c>
      <c r="E17" s="6" t="inlineStr">
        <is>
          <t>1031718621</t>
        </is>
      </c>
      <c r="F17" s="6" t="inlineStr">
        <is>
          <t>1031718692</t>
        </is>
      </c>
    </row>
    <row r="18">
      <c r="A18" s="15" t="inlineStr">
        <is>
          <t>servicer</t>
        </is>
      </c>
      <c r="B18" s="16" t="inlineStr">
        <is>
          <t>Newrez</t>
        </is>
      </c>
      <c r="C18" s="16" t="inlineStr">
        <is>
          <t>Newrez</t>
        </is>
      </c>
      <c r="D18" s="16" t="inlineStr">
        <is>
          <t>Newrez</t>
        </is>
      </c>
      <c r="E18" s="16" t="inlineStr">
        <is>
          <t>Newrez</t>
        </is>
      </c>
      <c r="F18" s="16" t="inlineStr">
        <is>
          <t>Newrez</t>
        </is>
      </c>
    </row>
    <row r="19">
      <c r="A19" s="15" t="inlineStr">
        <is>
          <t>timeline_notice_of_intent_date</t>
        </is>
      </c>
      <c r="B19" s="6" t="inlineStr">
        <is>
          <t>—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</row>
    <row r="20">
      <c r="A20" s="15" t="inlineStr">
        <is>
          <t>timeline_notice_of_intent_end_date</t>
        </is>
      </c>
      <c r="B20" s="16" t="inlineStr">
        <is>
          <t>—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—</t>
        </is>
      </c>
      <c r="F20" s="16" t="inlineStr">
        <is>
          <t>—</t>
        </is>
      </c>
    </row>
    <row r="21">
      <c r="A21" s="15" t="inlineStr">
        <is>
          <t>timeline_approved_for_referral_date</t>
        </is>
      </c>
      <c r="B21" s="6" t="inlineStr">
        <is>
          <t>—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</row>
    <row r="22">
      <c r="A22" s="15" t="inlineStr">
        <is>
          <t>timeline_referred_to_attorney_date</t>
        </is>
      </c>
      <c r="B22" s="16" t="inlineStr">
        <is>
          <t>—</t>
        </is>
      </c>
      <c r="C22" s="16" t="inlineStr">
        <is>
          <t>—</t>
        </is>
      </c>
      <c r="D22" s="16" t="inlineStr">
        <is>
          <t>—</t>
        </is>
      </c>
      <c r="E22" s="16" t="inlineStr">
        <is>
          <t>—</t>
        </is>
      </c>
      <c r="F22" s="16" t="inlineStr">
        <is>
          <t>—</t>
        </is>
      </c>
    </row>
    <row r="23">
      <c r="A23" s="15" t="inlineStr">
        <is>
          <t>timeline_referred_to_foreclosure_date</t>
        </is>
      </c>
      <c r="B23" s="6" t="inlineStr">
        <is>
          <t>2025-05-23</t>
        </is>
      </c>
      <c r="C23" s="6" t="inlineStr">
        <is>
          <t>2026-03-09</t>
        </is>
      </c>
      <c r="D23" s="6" t="inlineStr">
        <is>
          <t>2025-06-27</t>
        </is>
      </c>
      <c r="E23" s="6" t="inlineStr">
        <is>
          <t>2025-02-03</t>
        </is>
      </c>
      <c r="F23" s="6" t="inlineStr">
        <is>
          <t>—</t>
        </is>
      </c>
    </row>
    <row r="24">
      <c r="A24" s="15" t="inlineStr">
        <is>
          <t>timeline_title_report_received_date</t>
        </is>
      </c>
      <c r="B24" s="16" t="inlineStr">
        <is>
          <t>—</t>
        </is>
      </c>
      <c r="C24" s="16" t="inlineStr">
        <is>
          <t>—</t>
        </is>
      </c>
      <c r="D24" s="16" t="inlineStr">
        <is>
          <t>—</t>
        </is>
      </c>
      <c r="E24" s="16" t="inlineStr">
        <is>
          <t>2025-12-02</t>
        </is>
      </c>
      <c r="F24" s="16" t="inlineStr">
        <is>
          <t>—</t>
        </is>
      </c>
    </row>
    <row r="25">
      <c r="A25" s="15" t="inlineStr">
        <is>
          <t>timeline_preliminary_title_cleared_date</t>
        </is>
      </c>
      <c r="B25" s="6" t="inlineStr">
        <is>
          <t>—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</row>
    <row r="26">
      <c r="A26" s="15" t="inlineStr">
        <is>
          <t>timeline_first_legal_date</t>
        </is>
      </c>
      <c r="B26" s="16" t="inlineStr">
        <is>
          <t>2025-06-13</t>
        </is>
      </c>
      <c r="C26" s="16" t="inlineStr">
        <is>
          <t>2026-03-25</t>
        </is>
      </c>
      <c r="D26" s="16" t="inlineStr">
        <is>
          <t>2025-07-21</t>
        </is>
      </c>
      <c r="E26" s="16" t="inlineStr">
        <is>
          <t>2025-03-27</t>
        </is>
      </c>
      <c r="F26" s="16" t="inlineStr">
        <is>
          <t>—</t>
        </is>
      </c>
    </row>
    <row r="27">
      <c r="A27" s="15" t="inlineStr">
        <is>
          <t>timeline_service_date</t>
        </is>
      </c>
      <c r="B27" s="6" t="inlineStr">
        <is>
          <t>2025-07-18</t>
        </is>
      </c>
      <c r="C27" s="6" t="inlineStr">
        <is>
          <t>—</t>
        </is>
      </c>
      <c r="D27" s="6" t="inlineStr">
        <is>
          <t>2025-12-24</t>
        </is>
      </c>
      <c r="E27" s="6" t="inlineStr">
        <is>
          <t>2025-05-03</t>
        </is>
      </c>
      <c r="F27" s="6" t="inlineStr">
        <is>
          <t>—</t>
        </is>
      </c>
    </row>
    <row r="28">
      <c r="A28" s="15" t="inlineStr">
        <is>
          <t>timeline_publication_date</t>
        </is>
      </c>
      <c r="B28" s="16" t="inlineStr">
        <is>
          <t>—</t>
        </is>
      </c>
      <c r="C28" s="16" t="inlineStr">
        <is>
          <t>—</t>
        </is>
      </c>
      <c r="D28" s="16" t="inlineStr">
        <is>
          <t>—</t>
        </is>
      </c>
      <c r="E28" s="16" t="inlineStr">
        <is>
          <t>—</t>
        </is>
      </c>
      <c r="F28" s="16" t="inlineStr">
        <is>
          <t>—</t>
        </is>
      </c>
    </row>
    <row r="29">
      <c r="A29" s="15" t="inlineStr">
        <is>
          <t>timeline_judgement_hearing_set_date</t>
        </is>
      </c>
      <c r="B29" s="6" t="inlineStr">
        <is>
          <t>2025-12-17</t>
        </is>
      </c>
      <c r="C29" s="6" t="inlineStr">
        <is>
          <t>—</t>
        </is>
      </c>
      <c r="D29" s="6" t="inlineStr">
        <is>
          <t>2026-02-13</t>
        </is>
      </c>
      <c r="E29" s="6" t="inlineStr">
        <is>
          <t>2025-07-15</t>
        </is>
      </c>
      <c r="F29" s="6" t="inlineStr">
        <is>
          <t>—</t>
        </is>
      </c>
    </row>
    <row r="30">
      <c r="A30" s="15" t="inlineStr">
        <is>
          <t>timeline_judgement_date</t>
        </is>
      </c>
      <c r="B30" s="16" t="inlineStr">
        <is>
          <t>2026-03-27</t>
        </is>
      </c>
      <c r="C30" s="16" t="inlineStr">
        <is>
          <t>—</t>
        </is>
      </c>
      <c r="D30" s="16" t="inlineStr">
        <is>
          <t>2026-04-13</t>
        </is>
      </c>
      <c r="E30" s="16" t="inlineStr">
        <is>
          <t>2025-10-15</t>
        </is>
      </c>
      <c r="F30" s="16" t="inlineStr">
        <is>
          <t>—</t>
        </is>
      </c>
    </row>
    <row r="31">
      <c r="A31" s="15" t="inlineStr">
        <is>
          <t>timeline_sale_date_projected_date</t>
        </is>
      </c>
      <c r="B31" s="6" t="inlineStr">
        <is>
          <t>—</t>
        </is>
      </c>
      <c r="C31" s="6" t="inlineStr">
        <is>
          <t>—</t>
        </is>
      </c>
      <c r="D31" s="6" t="inlineStr">
        <is>
          <t>2026-05-19</t>
        </is>
      </c>
      <c r="E31" s="6" t="inlineStr">
        <is>
          <t>—</t>
        </is>
      </c>
      <c r="F31" s="6" t="inlineStr">
        <is>
          <t>—</t>
        </is>
      </c>
    </row>
    <row r="32">
      <c r="A32" s="15" t="inlineStr">
        <is>
          <t>timeline_sale_date_set_date</t>
        </is>
      </c>
      <c r="B32" s="16" t="inlineStr">
        <is>
          <t>—</t>
        </is>
      </c>
      <c r="C32" s="16" t="inlineStr">
        <is>
          <t>—</t>
        </is>
      </c>
      <c r="D32" s="16" t="inlineStr">
        <is>
          <t>2026-02-19</t>
        </is>
      </c>
      <c r="E32" s="16" t="inlineStr">
        <is>
          <t>—</t>
        </is>
      </c>
      <c r="F32" s="16" t="inlineStr">
        <is>
          <t>—</t>
        </is>
      </c>
    </row>
    <row r="33">
      <c r="A33" s="15" t="inlineStr">
        <is>
          <t>timeline_final_title_cleared_date</t>
        </is>
      </c>
      <c r="B33" s="6" t="inlineStr">
        <is>
          <t>—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</row>
    <row r="34">
      <c r="A34" s="15" t="inlineStr">
        <is>
          <t>timeline_sale_date_held_date</t>
        </is>
      </c>
      <c r="B34" s="16" t="inlineStr">
        <is>
          <t>2026-05-22</t>
        </is>
      </c>
      <c r="C34" s="16" t="inlineStr">
        <is>
          <t>—</t>
        </is>
      </c>
      <c r="D34" s="16" t="inlineStr">
        <is>
          <t>—</t>
        </is>
      </c>
      <c r="E34" s="16" t="inlineStr">
        <is>
          <t>2025-10-14</t>
        </is>
      </c>
      <c r="F34" s="16" t="inlineStr">
        <is>
          <t>—</t>
        </is>
      </c>
    </row>
    <row r="35">
      <c r="A35" s="15" t="inlineStr">
        <is>
          <t>timeline_foreclosure_completed_date</t>
        </is>
      </c>
      <c r="B35" s="6" t="inlineStr">
        <is>
          <t>—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</row>
    <row r="36">
      <c r="A36" s="15" t="inlineStr">
        <is>
          <t>timeline_third_party_sold_date_date</t>
        </is>
      </c>
      <c r="B36" s="16" t="inlineStr">
        <is>
          <t>—</t>
        </is>
      </c>
      <c r="C36" s="16" t="inlineStr">
        <is>
          <t>—</t>
        </is>
      </c>
      <c r="D36" s="16" t="inlineStr">
        <is>
          <t>—</t>
        </is>
      </c>
      <c r="E36" s="16" t="inlineStr">
        <is>
          <t>—</t>
        </is>
      </c>
      <c r="F36" s="16" t="inlineStr">
        <is>
          <t>—</t>
        </is>
      </c>
    </row>
    <row r="37">
      <c r="A37" s="15" t="inlineStr">
        <is>
          <t>timeline_third_party_proceeds_received_date</t>
        </is>
      </c>
      <c r="B37" s="6" t="inlineStr">
        <is>
          <t>—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</row>
    <row r="38">
      <c r="A38" s="15" t="inlineStr">
        <is>
          <t>target_notice_of_intent_days</t>
        </is>
      </c>
      <c r="B38" s="16" t="inlineStr">
        <is>
          <t>—</t>
        </is>
      </c>
      <c r="C38" s="16" t="inlineStr">
        <is>
          <t>—</t>
        </is>
      </c>
      <c r="D38" s="16" t="inlineStr">
        <is>
          <t>—</t>
        </is>
      </c>
      <c r="E38" s="16" t="inlineStr">
        <is>
          <t>—</t>
        </is>
      </c>
      <c r="F38" s="16" t="inlineStr">
        <is>
          <t>—</t>
        </is>
      </c>
    </row>
    <row r="39">
      <c r="A39" s="15" t="inlineStr">
        <is>
          <t>target_notice_of_intent_expired_days</t>
        </is>
      </c>
      <c r="B39" s="6" t="inlineStr">
        <is>
          <t>—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</row>
    <row r="40">
      <c r="A40" s="15" t="inlineStr">
        <is>
          <t>target_approved_for_referral_days</t>
        </is>
      </c>
      <c r="B40" s="16" t="inlineStr">
        <is>
          <t>—</t>
        </is>
      </c>
      <c r="C40" s="16" t="inlineStr">
        <is>
          <t>—</t>
        </is>
      </c>
      <c r="D40" s="16" t="inlineStr">
        <is>
          <t>—</t>
        </is>
      </c>
      <c r="E40" s="16" t="inlineStr">
        <is>
          <t>—</t>
        </is>
      </c>
      <c r="F40" s="16" t="inlineStr">
        <is>
          <t>—</t>
        </is>
      </c>
    </row>
    <row r="41">
      <c r="A41" s="15" t="inlineStr">
        <is>
          <t>target_referred_to_attorney_days</t>
        </is>
      </c>
      <c r="B41" s="6" t="inlineStr">
        <is>
          <t>—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</row>
    <row r="42">
      <c r="A42" s="15" t="inlineStr">
        <is>
          <t>target_referred_to_foreclosure_days</t>
        </is>
      </c>
      <c r="B42" s="16" t="inlineStr">
        <is>
          <t>—</t>
        </is>
      </c>
      <c r="C42" s="16" t="inlineStr">
        <is>
          <t>—</t>
        </is>
      </c>
      <c r="D42" s="16" t="inlineStr">
        <is>
          <t>—</t>
        </is>
      </c>
      <c r="E42" s="16" t="inlineStr">
        <is>
          <t>—</t>
        </is>
      </c>
      <c r="F42" s="16" t="inlineStr">
        <is>
          <t>—</t>
        </is>
      </c>
    </row>
    <row r="43">
      <c r="A43" s="15" t="inlineStr">
        <is>
          <t>target_title_report_received_days</t>
        </is>
      </c>
      <c r="B43" s="6" t="inlineStr">
        <is>
          <t>—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</row>
    <row r="44">
      <c r="A44" s="15" t="inlineStr">
        <is>
          <t>target_preliminary_title_cleared_days</t>
        </is>
      </c>
      <c r="B44" s="16" t="inlineStr">
        <is>
          <t>—</t>
        </is>
      </c>
      <c r="C44" s="16" t="inlineStr">
        <is>
          <t>—</t>
        </is>
      </c>
      <c r="D44" s="16" t="inlineStr">
        <is>
          <t>—</t>
        </is>
      </c>
      <c r="E44" s="16" t="inlineStr">
        <is>
          <t>—</t>
        </is>
      </c>
      <c r="F44" s="16" t="inlineStr">
        <is>
          <t>—</t>
        </is>
      </c>
    </row>
    <row r="45">
      <c r="A45" s="15" t="inlineStr">
        <is>
          <t>target_first_legal_days</t>
        </is>
      </c>
      <c r="B45" s="6" t="inlineStr">
        <is>
          <t>—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</row>
    <row r="46">
      <c r="A46" s="15" t="inlineStr">
        <is>
          <t>target_service_days</t>
        </is>
      </c>
      <c r="B46" s="16" t="inlineStr">
        <is>
          <t>—</t>
        </is>
      </c>
      <c r="C46" s="16" t="inlineStr">
        <is>
          <t>—</t>
        </is>
      </c>
      <c r="D46" s="16" t="inlineStr">
        <is>
          <t>—</t>
        </is>
      </c>
      <c r="E46" s="16" t="inlineStr">
        <is>
          <t>—</t>
        </is>
      </c>
      <c r="F46" s="16" t="inlineStr">
        <is>
          <t>—</t>
        </is>
      </c>
    </row>
    <row r="47">
      <c r="A47" s="15" t="inlineStr">
        <is>
          <t>target_publication_days</t>
        </is>
      </c>
      <c r="B47" s="6" t="inlineStr">
        <is>
          <t>—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</row>
    <row r="48">
      <c r="A48" s="15" t="inlineStr">
        <is>
          <t>target_judgement_hearing_set_days</t>
        </is>
      </c>
      <c r="B48" s="16" t="inlineStr">
        <is>
          <t>—</t>
        </is>
      </c>
      <c r="C48" s="16" t="inlineStr">
        <is>
          <t>—</t>
        </is>
      </c>
      <c r="D48" s="16" t="inlineStr">
        <is>
          <t>—</t>
        </is>
      </c>
      <c r="E48" s="16" t="inlineStr">
        <is>
          <t>—</t>
        </is>
      </c>
      <c r="F48" s="16" t="inlineStr">
        <is>
          <t>—</t>
        </is>
      </c>
    </row>
    <row r="49">
      <c r="A49" s="15" t="inlineStr">
        <is>
          <t>target_judgement_days</t>
        </is>
      </c>
      <c r="B49" s="6" t="inlineStr">
        <is>
          <t>—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</row>
    <row r="50">
      <c r="A50" s="15" t="inlineStr">
        <is>
          <t>target_sale_date_set_days</t>
        </is>
      </c>
      <c r="B50" s="16" t="inlineStr">
        <is>
          <t>—</t>
        </is>
      </c>
      <c r="C50" s="16" t="inlineStr">
        <is>
          <t>—</t>
        </is>
      </c>
      <c r="D50" s="16" t="inlineStr">
        <is>
          <t>—</t>
        </is>
      </c>
      <c r="E50" s="16" t="inlineStr">
        <is>
          <t>—</t>
        </is>
      </c>
      <c r="F50" s="16" t="inlineStr">
        <is>
          <t>—</t>
        </is>
      </c>
    </row>
    <row r="51">
      <c r="A51" s="15" t="inlineStr">
        <is>
          <t>target_final_title_cleared_days</t>
        </is>
      </c>
      <c r="B51" s="6" t="inlineStr">
        <is>
          <t>—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</row>
    <row r="52">
      <c r="A52" s="15" t="inlineStr">
        <is>
          <t>target_sale_date_held_days</t>
        </is>
      </c>
      <c r="B52" s="16" t="inlineStr">
        <is>
          <t>—</t>
        </is>
      </c>
      <c r="C52" s="16" t="inlineStr">
        <is>
          <t>—</t>
        </is>
      </c>
      <c r="D52" s="16" t="inlineStr">
        <is>
          <t>—</t>
        </is>
      </c>
      <c r="E52" s="16" t="inlineStr">
        <is>
          <t>—</t>
        </is>
      </c>
      <c r="F52" s="16" t="inlineStr">
        <is>
          <t>—</t>
        </is>
      </c>
    </row>
    <row r="53">
      <c r="A53" s="15" t="inlineStr">
        <is>
          <t>variance_active_bankruptcy</t>
        </is>
      </c>
      <c r="B53" s="6" t="inlineStr">
        <is>
          <t>—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</row>
    <row r="54">
      <c r="A54" s="15" t="inlineStr">
        <is>
          <t>variance_completed_bankruptcy</t>
        </is>
      </c>
      <c r="B54" s="16" t="inlineStr">
        <is>
          <t>—</t>
        </is>
      </c>
      <c r="C54" s="16" t="inlineStr">
        <is>
          <t>—</t>
        </is>
      </c>
      <c r="D54" s="16" t="inlineStr">
        <is>
          <t>—</t>
        </is>
      </c>
      <c r="E54" s="16" t="inlineStr">
        <is>
          <t>—</t>
        </is>
      </c>
      <c r="F54" s="16" t="inlineStr">
        <is>
          <t>—</t>
        </is>
      </c>
    </row>
    <row r="55">
      <c r="A55" s="15" t="inlineStr">
        <is>
          <t>variance_estimated_hold_days</t>
        </is>
      </c>
      <c r="B55" s="6" t="inlineStr">
        <is>
          <t>—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</row>
    <row r="56">
      <c r="A56" s="15" t="inlineStr">
        <is>
          <t>variance_bankruptcies</t>
        </is>
      </c>
      <c r="B56" s="16" t="inlineStr">
        <is>
          <t>—</t>
        </is>
      </c>
      <c r="C56" s="16" t="inlineStr">
        <is>
          <t>—</t>
        </is>
      </c>
      <c r="D56" s="16" t="inlineStr">
        <is>
          <t>—</t>
        </is>
      </c>
      <c r="E56" s="16" t="inlineStr">
        <is>
          <t>—</t>
        </is>
      </c>
      <c r="F56" s="16" t="inlineStr">
        <is>
          <t>—</t>
        </is>
      </c>
    </row>
    <row r="57">
      <c r="A57" s="15" t="inlineStr">
        <is>
          <t>bid_approval_status</t>
        </is>
      </c>
      <c r="B57" s="6" t="inlineStr">
        <is>
          <t>—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</row>
    <row r="58">
      <c r="A58" s="15" t="inlineStr">
        <is>
          <t>bid_approval_sale_date</t>
        </is>
      </c>
      <c r="B58" s="16" t="inlineStr">
        <is>
          <t>—</t>
        </is>
      </c>
      <c r="C58" s="16" t="inlineStr">
        <is>
          <t>—</t>
        </is>
      </c>
      <c r="D58" s="16" t="inlineStr">
        <is>
          <t>—</t>
        </is>
      </c>
      <c r="E58" s="16" t="inlineStr">
        <is>
          <t>—</t>
        </is>
      </c>
      <c r="F58" s="16" t="inlineStr">
        <is>
          <t>—</t>
        </is>
      </c>
    </row>
    <row r="59">
      <c r="A59" s="15" t="inlineStr">
        <is>
          <t>bid_approval_bid_amount</t>
        </is>
      </c>
      <c r="B59" s="6" t="inlineStr">
        <is>
          <t>301500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390832.5</t>
        </is>
      </c>
      <c r="F59" s="6" t="inlineStr">
        <is>
          <t>—</t>
        </is>
      </c>
    </row>
    <row r="60">
      <c r="A60" s="15" t="inlineStr">
        <is>
          <t>bid_approval_loan_resolution_holods</t>
        </is>
      </c>
      <c r="B60" s="16" t="inlineStr">
        <is>
          <t>—</t>
        </is>
      </c>
      <c r="C60" s="16" t="inlineStr">
        <is>
          <t>—</t>
        </is>
      </c>
      <c r="D60" s="16" t="inlineStr">
        <is>
          <t>—</t>
        </is>
      </c>
      <c r="E60" s="16" t="inlineStr">
        <is>
          <t>—</t>
        </is>
      </c>
      <c r="F60" s="16" t="inlineStr">
        <is>
          <t>—</t>
        </is>
      </c>
    </row>
    <row r="61">
      <c r="A61" s="15" t="inlineStr">
        <is>
          <t>summary_servicer_number</t>
        </is>
      </c>
      <c r="B61" s="6" t="inlineStr">
        <is>
          <t>—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</row>
    <row r="62">
      <c r="A62" s="15" t="inlineStr">
        <is>
          <t>summary_foreclosure_status</t>
        </is>
      </c>
      <c r="B62" s="16" t="inlineStr">
        <is>
          <t>Closed Foreclosure:Process Complete</t>
        </is>
      </c>
      <c r="C62" s="16" t="inlineStr">
        <is>
          <t>Closed Foreclosure:Loss Mitigation</t>
        </is>
      </c>
      <c r="D62" s="16" t="inlineStr">
        <is>
          <t>Closed Foreclosure:Paid in Full</t>
        </is>
      </c>
      <c r="E62" s="16" t="inlineStr">
        <is>
          <t>Closed Foreclosure:Process Complete</t>
        </is>
      </c>
      <c r="F62" s="16" t="inlineStr">
        <is>
          <t>—</t>
        </is>
      </c>
    </row>
    <row r="63">
      <c r="A63" s="15" t="inlineStr">
        <is>
          <t>summary_completed_foreclosure</t>
        </is>
      </c>
      <c r="B63" s="6" t="inlineStr">
        <is>
          <t>—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</row>
    <row r="64">
      <c r="A64" s="15" t="inlineStr">
        <is>
          <t>summary_foreclosure_bid_amount</t>
        </is>
      </c>
      <c r="B64" s="16" t="inlineStr">
        <is>
          <t>301500</t>
        </is>
      </c>
      <c r="C64" s="16" t="inlineStr">
        <is>
          <t>—</t>
        </is>
      </c>
      <c r="D64" s="16" t="inlineStr">
        <is>
          <t>—</t>
        </is>
      </c>
      <c r="E64" s="16" t="inlineStr">
        <is>
          <t>390832.5</t>
        </is>
      </c>
      <c r="F64" s="16" t="inlineStr">
        <is>
          <t>—</t>
        </is>
      </c>
    </row>
    <row r="65">
      <c r="A65" s="15" t="inlineStr">
        <is>
          <t>summary_srv_fc_bid_amount</t>
        </is>
      </c>
      <c r="B65" s="6" t="inlineStr">
        <is>
          <t>301500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390832.5</t>
        </is>
      </c>
      <c r="F65" s="6" t="inlineStr">
        <is>
          <t>—</t>
        </is>
      </c>
    </row>
    <row r="66">
      <c r="A66" s="15" t="inlineStr">
        <is>
          <t>summary_foreclosure_sale_amount</t>
        </is>
      </c>
      <c r="B66" s="16" t="inlineStr">
        <is>
          <t>200100</t>
        </is>
      </c>
      <c r="C66" s="16" t="inlineStr">
        <is>
          <t>—</t>
        </is>
      </c>
      <c r="D66" s="16" t="inlineStr">
        <is>
          <t>—</t>
        </is>
      </c>
      <c r="E66" s="16" t="inlineStr">
        <is>
          <t>357200</t>
        </is>
      </c>
      <c r="F66" s="16" t="inlineStr">
        <is>
          <t>—</t>
        </is>
      </c>
    </row>
    <row r="67">
      <c r="A67" s="15" t="inlineStr">
        <is>
          <t>summary_judicial_foreclosure</t>
        </is>
      </c>
      <c r="B67" s="6" t="inlineStr">
        <is>
          <t>1</t>
        </is>
      </c>
      <c r="C67" s="6" t="inlineStr">
        <is>
          <t>0</t>
        </is>
      </c>
      <c r="D67" s="6" t="inlineStr">
        <is>
          <t>1</t>
        </is>
      </c>
      <c r="E67" s="6" t="inlineStr">
        <is>
          <t>1</t>
        </is>
      </c>
      <c r="F67" s="6" t="inlineStr">
        <is>
          <t>—</t>
        </is>
      </c>
    </row>
    <row r="68">
      <c r="A68" s="15" t="inlineStr">
        <is>
          <t>summary_foreclosure_attorney</t>
        </is>
      </c>
      <c r="B68" s="16" t="inlineStr">
        <is>
          <t>—</t>
        </is>
      </c>
      <c r="C68" s="16" t="inlineStr">
        <is>
          <t>—</t>
        </is>
      </c>
      <c r="D68" s="16" t="inlineStr">
        <is>
          <t>—</t>
        </is>
      </c>
      <c r="E68" s="16" t="inlineStr">
        <is>
          <t>—</t>
        </is>
      </c>
      <c r="F68" s="16" t="inlineStr">
        <is>
          <t>—</t>
        </is>
      </c>
    </row>
    <row r="69">
      <c r="A69" s="15" t="inlineStr">
        <is>
          <t>summary_contested_litigation</t>
        </is>
      </c>
      <c r="B69" s="6" t="inlineStr">
        <is>
          <t>0</t>
        </is>
      </c>
      <c r="C69" s="6" t="inlineStr">
        <is>
          <t>0</t>
        </is>
      </c>
      <c r="D69" s="6" t="inlineStr">
        <is>
          <t>0</t>
        </is>
      </c>
      <c r="E69" s="6" t="inlineStr">
        <is>
          <t>0</t>
        </is>
      </c>
      <c r="F69" s="6" t="inlineStr">
        <is>
          <t>0</t>
        </is>
      </c>
    </row>
    <row r="70">
      <c r="A70" s="15" t="inlineStr">
        <is>
          <t>summary_firm</t>
        </is>
      </c>
      <c r="B70" s="16" t="inlineStr">
        <is>
          <t>Kelley Kronenberg, P.A.</t>
        </is>
      </c>
      <c r="C70" s="16" t="inlineStr">
        <is>
          <t>Orlans Law Group PLLC</t>
        </is>
      </c>
      <c r="D70" s="16" t="inlineStr">
        <is>
          <t>Johnson, Blumberg &amp; Associates, LLC</t>
        </is>
      </c>
      <c r="E70" s="16" t="inlineStr">
        <is>
          <t>RAS (Primary)</t>
        </is>
      </c>
      <c r="F70" s="16" t="inlineStr">
        <is>
          <t>—</t>
        </is>
      </c>
    </row>
    <row r="71">
      <c r="A71" s="15" t="inlineStr">
        <is>
          <t>summary_type</t>
        </is>
      </c>
      <c r="B71" s="6" t="inlineStr">
        <is>
          <t>Judicial</t>
        </is>
      </c>
      <c r="C71" s="6" t="inlineStr">
        <is>
          <t>Non Judicial</t>
        </is>
      </c>
      <c r="D71" s="6" t="inlineStr">
        <is>
          <t>Judicial</t>
        </is>
      </c>
      <c r="E71" s="6" t="inlineStr">
        <is>
          <t>Judicial</t>
        </is>
      </c>
      <c r="F71" s="6" t="inlineStr">
        <is>
          <t>—</t>
        </is>
      </c>
    </row>
    <row r="72">
      <c r="A72" s="15" t="inlineStr">
        <is>
          <t>summary_sms_days_in_fcl</t>
        </is>
      </c>
      <c r="B72" s="16" t="inlineStr">
        <is>
          <t>368</t>
        </is>
      </c>
      <c r="C72" s="16" t="inlineStr">
        <is>
          <t>79</t>
        </is>
      </c>
      <c r="D72" s="16" t="inlineStr">
        <is>
          <t>294</t>
        </is>
      </c>
      <c r="E72" s="16" t="inlineStr">
        <is>
          <t>254</t>
        </is>
      </c>
      <c r="F72" s="16" t="inlineStr">
        <is>
          <t>—</t>
        </is>
      </c>
    </row>
    <row r="73">
      <c r="A73" s="15" t="inlineStr">
        <is>
          <t>summary_days_in_fcl</t>
        </is>
      </c>
      <c r="B73" s="6" t="inlineStr">
        <is>
          <t>368</t>
        </is>
      </c>
      <c r="C73" s="6" t="inlineStr">
        <is>
          <t>79</t>
        </is>
      </c>
      <c r="D73" s="6" t="inlineStr">
        <is>
          <t>294</t>
        </is>
      </c>
      <c r="E73" s="6" t="inlineStr">
        <is>
          <t>254</t>
        </is>
      </c>
      <c r="F73" s="6" t="inlineStr">
        <is>
          <t>—</t>
        </is>
      </c>
    </row>
    <row r="74">
      <c r="A74" s="15" t="inlineStr">
        <is>
          <t>summary_current_step</t>
        </is>
      </c>
      <c r="B74" s="16" t="inlineStr">
        <is>
          <t>Post Sale Review (SCRA and PACER Check)</t>
        </is>
      </c>
      <c r="C74" s="16" t="inlineStr">
        <is>
          <t>Pre-Sale Review 1 (SCRA and PACER Check)</t>
        </is>
      </c>
      <c r="D74" s="16" t="inlineStr">
        <is>
          <t>Pre-Sale Review 1 (SCRA and PACER Check)</t>
        </is>
      </c>
      <c r="E74" s="16" t="inlineStr">
        <is>
          <t>Post Sale Review (SCRA and PACER Check)</t>
        </is>
      </c>
      <c r="F74" s="16" t="inlineStr">
        <is>
          <t>—</t>
        </is>
      </c>
    </row>
    <row r="75">
      <c r="A75" s="15" t="inlineStr">
        <is>
          <t>summary_last_step_completed</t>
        </is>
      </c>
      <c r="B75" s="6" t="inlineStr">
        <is>
          <t>Post Sale Review (SCRA and PACER Check)</t>
        </is>
      </c>
      <c r="C75" s="6" t="inlineStr">
        <is>
          <t>First Publication</t>
        </is>
      </c>
      <c r="D75" s="6" t="inlineStr">
        <is>
          <t>Sale Scheduled For</t>
        </is>
      </c>
      <c r="E75" s="6" t="inlineStr">
        <is>
          <t>Post Sale Review (SCRA and PACER Check)</t>
        </is>
      </c>
      <c r="F75" s="6" t="inlineStr">
        <is>
          <t>—</t>
        </is>
      </c>
    </row>
    <row r="76">
      <c r="A76" s="15" t="inlineStr">
        <is>
          <t>summary_last_step_completed_date</t>
        </is>
      </c>
      <c r="B76" s="16" t="inlineStr">
        <is>
          <t>2026-05-26</t>
        </is>
      </c>
      <c r="C76" s="16" t="inlineStr">
        <is>
          <t>2026-03-25</t>
        </is>
      </c>
      <c r="D76" s="16" t="inlineStr">
        <is>
          <t>2026-05-19</t>
        </is>
      </c>
      <c r="E76" s="16" t="inlineStr">
        <is>
          <t>2025-10-15</t>
        </is>
      </c>
      <c r="F76" s="16" t="inlineStr">
        <is>
          <t>—</t>
        </is>
      </c>
    </row>
  </sheetData>
  <mergeCells count="13">
    <mergeCell ref="A2:F2"/>
    <mergeCell ref="A11:F11"/>
    <mergeCell ref="A10:F10"/>
    <mergeCell ref="A13:F13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7" t="inlineStr">
        <is>
          <t>port.basic_data_fcl_related — FCL 关联/过滤中间表（delq_status 等；每贷款最新 dataasof）</t>
        </is>
      </c>
    </row>
    <row r="2">
      <c r="A2" s="13" t="inlineStr">
        <is>
          <t>全 14 字段 · 取数口径：dataasof=MAX(每贷款) · 命中 5/5 贷款（无行的贷款列显示 —） · prod 实测 2026-06-04 · 业务日 2026-06-01</t>
        </is>
      </c>
    </row>
    <row r="3" ht="56" customHeight="1">
      <c r="A3" s="14" t="inlineStr">
        <is>
          <t>查询 SQL（prod 只读）：
-- port.basic_data_fcl_related · redshift_prod(只读) · 每贷款 dataasof=MAX(最新快照) · 业务日 2026-06-01
SELECT t.* FROM port.basic_data_fcl_related t JOIN (SELECT loanid, MAX(dataasof) AS _md FROM port.basic_data_fcl_related WHERE loanid IN ('7727000088','7727000672','7727004200','7727000065','7727000010') GROUP BY loanid) m ON t.loanid=m.loanid AND t.dataasof=m._md;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60" customHeight="1">
      <c r="A5" s="36" t="inlineStr">
        <is>
          <t>业务含义/目的：FCL 关联属性中间表(14 列)——诉讼标志、清算类型、BK 标志、违约原因、delq_status 等。 给 stage 计算与过滤提供‘关联属性/分组键’(delq_status → stage group)。</t>
        </is>
      </c>
    </row>
    <row r="6" ht="18" customHeight="1">
      <c r="A6" s="36" t="inlineStr">
        <is>
          <t>何时来查：查某贷款 stage 分组依据、关联诉讼/清算/违约属性。</t>
        </is>
      </c>
    </row>
    <row r="7" ht="30" customHeight="1">
      <c r="A7" s="36" t="inlineStr">
        <is>
          <t>为什么这样处理：stage 计算需把逾期支线的 delq_status 与 FCL 属性合并；单列一张关联表承接，避免主时间线表过宽。</t>
        </is>
      </c>
    </row>
    <row r="8" ht="18" customHeight="1">
      <c r="A8" s="36" t="inlineStr">
        <is>
          <t>数据粒度：1 行/贷款（最新 dataasof）。</t>
        </is>
      </c>
    </row>
    <row r="9" ht="75" customHeight="1">
      <c r="A9" s="36" t="inlineStr">
        <is>
          <t>上游链路：{ port.basic_data_loan_fcl(FCL 属性) + port.basic_data_daily_loan_common_clean.delinq(逾期码) } → port.basic_data_fcl_related〔basic_data_pool_config.py〕</t>
        </is>
      </c>
    </row>
    <row r="10" ht="30" customHeight="1">
      <c r="A10" s="36" t="inlineStr">
        <is>
          <t>全部上游表：port.basic_data_loan_fcl、port.basic_data_daily_loan_common_clean</t>
        </is>
      </c>
    </row>
    <row r="11" ht="60" customHeight="1">
      <c r="A11" s="36" t="inlineStr">
        <is>
          <t>下游链路：basic_data_fcl_related.delq_status → port.fcl_stage_info.group(stage 分组) → bpms.sync_fcl_stage_info → 视图 → BPS Stage 面板</t>
        </is>
      </c>
    </row>
    <row r="12" ht="45" customHeight="1">
      <c r="A12" s="36" t="inlineStr">
        <is>
          <t>全部下游表：port.fcl_stage_info、bpms.sync_fcl_stage_info、bpms.biz_data_view_loan_details_foreclosure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8" t="inlineStr">
        <is>
          <t>字段</t>
        </is>
      </c>
      <c r="B14" s="8" t="inlineStr">
        <is>
          <t>7727000088</t>
        </is>
      </c>
      <c r="C14" s="8" t="inlineStr">
        <is>
          <t>7727000672</t>
        </is>
      </c>
      <c r="D14" s="8" t="inlineStr">
        <is>
          <t>7727004200</t>
        </is>
      </c>
      <c r="E14" s="8" t="inlineStr">
        <is>
          <t>7727000065</t>
        </is>
      </c>
      <c r="F14" s="8" t="inlineStr">
        <is>
          <t>7727000010</t>
        </is>
      </c>
    </row>
    <row r="15">
      <c r="A15" s="15" t="inlineStr">
        <is>
          <t>dataasof</t>
        </is>
      </c>
      <c r="B15" s="6" t="inlineStr">
        <is>
          <t>2026-06-04</t>
        </is>
      </c>
      <c r="C15" s="6" t="inlineStr">
        <is>
          <t>2026-06-04</t>
        </is>
      </c>
      <c r="D15" s="6" t="inlineStr">
        <is>
          <t>2026-06-04</t>
        </is>
      </c>
      <c r="E15" s="6" t="inlineStr">
        <is>
          <t>2026-06-04</t>
        </is>
      </c>
      <c r="F15" s="6" t="inlineStr">
        <is>
          <t>2026-06-04</t>
        </is>
      </c>
    </row>
    <row r="16">
      <c r="A16" s="15" t="inlineStr">
        <is>
          <t>loanid</t>
        </is>
      </c>
      <c r="B16" s="16" t="inlineStr">
        <is>
          <t>7727000088</t>
        </is>
      </c>
      <c r="C16" s="16" t="inlineStr">
        <is>
          <t>7727000672</t>
        </is>
      </c>
      <c r="D16" s="16" t="inlineStr">
        <is>
          <t>7727004200</t>
        </is>
      </c>
      <c r="E16" s="16" t="inlineStr">
        <is>
          <t>7727000065</t>
        </is>
      </c>
      <c r="F16" s="16" t="inlineStr">
        <is>
          <t>7727000010</t>
        </is>
      </c>
    </row>
    <row r="17">
      <c r="A17" s="15" t="inlineStr">
        <is>
          <t>servicer</t>
        </is>
      </c>
      <c r="B17" s="6" t="inlineStr">
        <is>
          <t>Newrez</t>
        </is>
      </c>
      <c r="C17" s="6" t="inlineStr">
        <is>
          <t>Newrez</t>
        </is>
      </c>
      <c r="D17" s="6" t="inlineStr">
        <is>
          <t>Newrez</t>
        </is>
      </c>
      <c r="E17" s="6" t="inlineStr">
        <is>
          <t>Newrez</t>
        </is>
      </c>
      <c r="F17" s="6" t="inlineStr">
        <is>
          <t>Newrez</t>
        </is>
      </c>
    </row>
    <row r="18">
      <c r="A18" s="15" t="inlineStr">
        <is>
          <t>delq_status</t>
        </is>
      </c>
      <c r="B18" s="16" t="inlineStr">
        <is>
          <t>REO</t>
        </is>
      </c>
      <c r="C18" s="16" t="inlineStr">
        <is>
          <t>D120P</t>
        </is>
      </c>
      <c r="D18" s="16" t="inlineStr">
        <is>
          <t>P</t>
        </is>
      </c>
      <c r="E18" s="16" t="inlineStr">
        <is>
          <t>REO</t>
        </is>
      </c>
      <c r="F18" s="16" t="inlineStr">
        <is>
          <t>D60</t>
        </is>
      </c>
    </row>
    <row r="19">
      <c r="A19" s="15" t="inlineStr">
        <is>
          <t>isloanlitigated</t>
        </is>
      </c>
      <c r="B19" s="6" t="inlineStr">
        <is>
          <t>0</t>
        </is>
      </c>
      <c r="C19" s="6" t="inlineStr">
        <is>
          <t>0</t>
        </is>
      </c>
      <c r="D19" s="6" t="inlineStr">
        <is>
          <t>0</t>
        </is>
      </c>
      <c r="E19" s="6" t="inlineStr">
        <is>
          <t>0</t>
        </is>
      </c>
      <c r="F19" s="6" t="inlineStr">
        <is>
          <t>0</t>
        </is>
      </c>
    </row>
    <row r="20">
      <c r="A20" s="15" t="inlineStr">
        <is>
          <t>deactreason</t>
        </is>
      </c>
      <c r="B20" s="16" t="inlineStr">
        <is>
          <t>FC-BK</t>
        </is>
      </c>
      <c r="C20" s="16" t="inlineStr">
        <is>
          <t>FC-BK</t>
        </is>
      </c>
      <c r="D20" s="16" t="inlineStr">
        <is>
          <t>—</t>
        </is>
      </c>
      <c r="E20" s="16" t="inlineStr">
        <is>
          <t>FC-BK</t>
        </is>
      </c>
      <c r="F20" s="16" t="inlineStr">
        <is>
          <t>—</t>
        </is>
      </c>
    </row>
    <row r="21">
      <c r="A21" s="15" t="inlineStr">
        <is>
          <t>reasonfordefault</t>
        </is>
      </c>
      <c r="B21" s="6" t="inlineStr">
        <is>
          <t>Reduction in Borrower's Income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Unable to Contact Borrower</t>
        </is>
      </c>
      <c r="F21" s="6" t="inlineStr">
        <is>
          <t>—</t>
        </is>
      </c>
    </row>
    <row r="22">
      <c r="A22" s="15" t="inlineStr">
        <is>
          <t>inauctionflag</t>
        </is>
      </c>
      <c r="B22" s="16" t="inlineStr">
        <is>
          <t>0</t>
        </is>
      </c>
      <c r="C22" s="16" t="inlineStr">
        <is>
          <t>0</t>
        </is>
      </c>
      <c r="D22" s="16" t="inlineStr">
        <is>
          <t>0</t>
        </is>
      </c>
      <c r="E22" s="16" t="inlineStr">
        <is>
          <t>1</t>
        </is>
      </c>
      <c r="F22" s="16" t="inlineStr">
        <is>
          <t>0</t>
        </is>
      </c>
    </row>
    <row r="23">
      <c r="A23" s="15" t="inlineStr">
        <is>
          <t>liquidationdate</t>
        </is>
      </c>
      <c r="B23" s="6" t="inlineStr">
        <is>
          <t>—</t>
        </is>
      </c>
      <c r="C23" s="6" t="inlineStr">
        <is>
          <t>—</t>
        </is>
      </c>
      <c r="D23" s="6" t="inlineStr">
        <is>
          <t>2026-04-16</t>
        </is>
      </c>
      <c r="E23" s="6" t="inlineStr">
        <is>
          <t>—</t>
        </is>
      </c>
      <c r="F23" s="6" t="inlineStr">
        <is>
          <t>—</t>
        </is>
      </c>
    </row>
    <row r="24">
      <c r="A24" s="15" t="inlineStr">
        <is>
          <t>liquidationtype</t>
        </is>
      </c>
      <c r="B24" s="16" t="inlineStr">
        <is>
          <t>—</t>
        </is>
      </c>
      <c r="C24" s="16" t="inlineStr">
        <is>
          <t>—</t>
        </is>
      </c>
      <c r="D24" s="16" t="inlineStr">
        <is>
          <t>3.0</t>
        </is>
      </c>
      <c r="E24" s="16" t="inlineStr">
        <is>
          <t>—</t>
        </is>
      </c>
      <c r="F24" s="16" t="inlineStr">
        <is>
          <t>—</t>
        </is>
      </c>
    </row>
    <row r="25">
      <c r="A25" s="15" t="inlineStr">
        <is>
          <t>liquidationproceeds</t>
        </is>
      </c>
      <c r="B25" s="6" t="inlineStr">
        <is>
          <t>—</t>
        </is>
      </c>
      <c r="C25" s="6" t="inlineStr">
        <is>
          <t>—</t>
        </is>
      </c>
      <c r="D25" s="6" t="inlineStr">
        <is>
          <t>503557.98</t>
        </is>
      </c>
      <c r="E25" s="6" t="inlineStr">
        <is>
          <t>—</t>
        </is>
      </c>
      <c r="F25" s="6" t="inlineStr">
        <is>
          <t>—</t>
        </is>
      </c>
    </row>
    <row r="26">
      <c r="A26" s="15" t="inlineStr">
        <is>
          <t>pmt</t>
        </is>
      </c>
      <c r="B26" s="16" t="inlineStr">
        <is>
          <t>0</t>
        </is>
      </c>
      <c r="C26" s="16" t="inlineStr">
        <is>
          <t>0</t>
        </is>
      </c>
      <c r="D26" s="16" t="inlineStr">
        <is>
          <t>0</t>
        </is>
      </c>
      <c r="E26" s="16" t="inlineStr">
        <is>
          <t>0</t>
        </is>
      </c>
      <c r="F26" s="16" t="inlineStr">
        <is>
          <t>6339.72</t>
        </is>
      </c>
    </row>
    <row r="27">
      <c r="A27" s="15" t="inlineStr">
        <is>
          <t>bk_flag</t>
        </is>
      </c>
      <c r="B27" s="6" t="inlineStr">
        <is>
          <t>0</t>
        </is>
      </c>
      <c r="C27" s="6" t="inlineStr">
        <is>
          <t>0</t>
        </is>
      </c>
      <c r="D27" s="6" t="inlineStr">
        <is>
          <t>0</t>
        </is>
      </c>
      <c r="E27" s="6" t="inlineStr">
        <is>
          <t>0</t>
        </is>
      </c>
      <c r="F27" s="6" t="inlineStr">
        <is>
          <t>1</t>
        </is>
      </c>
    </row>
    <row r="28">
      <c r="A28" s="15" t="inlineStr">
        <is>
          <t>propertystate</t>
        </is>
      </c>
      <c r="B28" s="16" t="inlineStr">
        <is>
          <t>FL</t>
        </is>
      </c>
      <c r="C28" s="16" t="inlineStr">
        <is>
          <t>MI</t>
        </is>
      </c>
      <c r="D28" s="16" t="inlineStr">
        <is>
          <t>IL</t>
        </is>
      </c>
      <c r="E28" s="16" t="inlineStr">
        <is>
          <t>FL</t>
        </is>
      </c>
      <c r="F28" s="16" t="inlineStr">
        <is>
          <t>FL</t>
        </is>
      </c>
    </row>
  </sheetData>
  <mergeCells count="13">
    <mergeCell ref="A2:F2"/>
    <mergeCell ref="A11:F11"/>
    <mergeCell ref="A10:F10"/>
    <mergeCell ref="A13:F13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7" t="inlineStr">
        <is>
          <t>port.fcl_stage_info — Redshift 阶段表（sync_fcl_stage_info 上游；每贷款最新 fctrdt）</t>
        </is>
      </c>
    </row>
    <row r="2">
      <c r="A2" s="13" t="inlineStr">
        <is>
          <t>全 48 字段 · 取数口径：fctrdt=MAX(每贷款) · 命中 5/5 贷款（无行的贷款列显示 —） · prod 实测 2026-06-04 · 业务日 2026-06-01</t>
        </is>
      </c>
    </row>
    <row r="3" ht="56" customHeight="1">
      <c r="A3" s="14" t="inlineStr">
        <is>
          <t>查询 SQL（prod 只读）：
-- port.fcl_stage_info · redshift_prod(只读) · 每贷款 fctrdt=MAX(最新快照) · 业务日 2026-06-01
SELECT t.* FROM port.fcl_stage_info t JOIN (SELECT loanid, MAX(fctrdt) AS _md FROM port.fcl_stage_info WHERE loanid IN ('7727000088','7727000672','7727004200','7727000065','7727000010') GROUP BY loanid) m ON t.loanid=m.loanid AND t.fctrdt=m._md;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60" customHeight="1">
      <c r="A5" s="36" t="inlineStr">
        <is>
          <t>业务含义/目的：Redshift 阶段表(48 列)——把法拍拆成 6 大阶段，每阶段 5 维(开始/天数/扣除 LM-Hold 重叠等)，每贷款最新 fctrdt。 bpms.sync_fcl_stage_info(BPS 聚合 Stage/Timeline)的上游；面板‘各阶段停留天数’的底座。</t>
        </is>
      </c>
    </row>
    <row r="6" ht="30" customHeight="1">
      <c r="A6" s="36" t="inlineStr">
        <is>
          <t>何时来查：查某贷款‘在每个阶段停留多久、扣除 LM/Hold 后净时长、当前在哪个阶段组’。</t>
        </is>
      </c>
    </row>
    <row r="7" ht="45" customHeight="1">
      <c r="A7" s="36" t="inlineStr">
        <is>
          <t>为什么这样处理：业务关心‘卡在哪一步多久’；阶段口径复杂(N:N 扣 LM/Hold 重叠)，单列一张表算清，并 JOIN portfunding 取 funding 维。</t>
        </is>
      </c>
    </row>
    <row r="8" ht="18" customHeight="1">
      <c r="A8" s="36" t="inlineStr">
        <is>
          <t>数据粒度：1 行/贷款/fctrdt。</t>
        </is>
      </c>
    </row>
    <row r="9" ht="75" customHeight="1">
      <c r="A9" s="36" t="inlineStr">
        <is>
          <t>上游链路：{ port.basic_data_loan_fcl + port.basic_data_fcl_related(delq_status 分组) + port.portfunding(JOIN) } → port.fcl_stage_info〔GEN_FCL_STAGE basic_data_pool_config.py:1774-2440〕</t>
        </is>
      </c>
    </row>
    <row r="10" ht="60" customHeight="1">
      <c r="A10" s="36" t="inlineStr">
        <is>
          <t>全部上游表：port.basic_data_loan_fcl、port.basic_data_fcl_related、port.basic_data_daily_loan_common_clean、port.portfunding</t>
        </is>
      </c>
    </row>
    <row r="11" ht="60" customHeight="1">
      <c r="A11" s="36" t="inlineStr">
        <is>
          <t>下游链路：fcl_stage_info → bpms.sync_fcl_stage_info〔GET_FCL_STAGE_DATA asset_managment_config.py:925-929，JOIN port.portfunding〕 → 视图 → BPS Stage 面板</t>
        </is>
      </c>
    </row>
    <row r="12" ht="30" customHeight="1">
      <c r="A12" s="36" t="inlineStr">
        <is>
          <t>全部下游表：bpms.sync_fcl_stage_info、bpms.biz_data_view_loan_details_foreclosure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8" t="inlineStr">
        <is>
          <t>字段</t>
        </is>
      </c>
      <c r="B14" s="8" t="inlineStr">
        <is>
          <t>7727000088</t>
        </is>
      </c>
      <c r="C14" s="8" t="inlineStr">
        <is>
          <t>7727000672</t>
        </is>
      </c>
      <c r="D14" s="8" t="inlineStr">
        <is>
          <t>7727004200</t>
        </is>
      </c>
      <c r="E14" s="8" t="inlineStr">
        <is>
          <t>7727000065</t>
        </is>
      </c>
      <c r="F14" s="8" t="inlineStr">
        <is>
          <t>7727000010</t>
        </is>
      </c>
    </row>
    <row r="15">
      <c r="A15" s="15" t="inlineStr">
        <is>
          <t>fctrdt</t>
        </is>
      </c>
      <c r="B15" s="6" t="inlineStr">
        <is>
          <t>2026-05-25</t>
        </is>
      </c>
      <c r="C15" s="6" t="inlineStr">
        <is>
          <t>2026-05-26</t>
        </is>
      </c>
      <c r="D15" s="6" t="inlineStr">
        <is>
          <t>2026-04-15</t>
        </is>
      </c>
      <c r="E15" s="6" t="inlineStr">
        <is>
          <t>2025-10-14</t>
        </is>
      </c>
      <c r="F15" s="6" t="inlineStr">
        <is>
          <t>2026-05-31</t>
        </is>
      </c>
    </row>
    <row r="16">
      <c r="A16" s="15" t="inlineStr">
        <is>
          <t>loanid</t>
        </is>
      </c>
      <c r="B16" s="16" t="inlineStr">
        <is>
          <t>7727000088</t>
        </is>
      </c>
      <c r="C16" s="16" t="inlineStr">
        <is>
          <t>7727000672</t>
        </is>
      </c>
      <c r="D16" s="16" t="inlineStr">
        <is>
          <t>7727004200</t>
        </is>
      </c>
      <c r="E16" s="16" t="inlineStr">
        <is>
          <t>7727000065</t>
        </is>
      </c>
      <c r="F16" s="16" t="inlineStr">
        <is>
          <t>7727000010</t>
        </is>
      </c>
    </row>
    <row r="17">
      <c r="A17" s="15" t="inlineStr">
        <is>
          <t>group</t>
        </is>
      </c>
      <c r="B17" s="6" t="inlineStr">
        <is>
          <t>REO</t>
        </is>
      </c>
      <c r="C17" s="6" t="inlineStr">
        <is>
          <t>FCL</t>
        </is>
      </c>
      <c r="D17" s="6" t="inlineStr">
        <is>
          <t>FCL</t>
        </is>
      </c>
      <c r="E17" s="6" t="inlineStr">
        <is>
          <t>REO</t>
        </is>
      </c>
      <c r="F17" s="6" t="inlineStr">
        <is>
          <t>D120P</t>
        </is>
      </c>
    </row>
    <row r="18">
      <c r="A18" s="15" t="inlineStr">
        <is>
          <t>servicer</t>
        </is>
      </c>
      <c r="B18" s="16" t="inlineStr">
        <is>
          <t>Newrez</t>
        </is>
      </c>
      <c r="C18" s="16" t="inlineStr">
        <is>
          <t>Newrez</t>
        </is>
      </c>
      <c r="D18" s="16" t="inlineStr">
        <is>
          <t>Newrez</t>
        </is>
      </c>
      <c r="E18" s="16" t="inlineStr">
        <is>
          <t>Newrez</t>
        </is>
      </c>
      <c r="F18" s="16" t="inlineStr">
        <is>
          <t>Newrez</t>
        </is>
      </c>
    </row>
    <row r="19">
      <c r="A19" s="15" t="inlineStr">
        <is>
          <t>state</t>
        </is>
      </c>
      <c r="B19" s="6" t="inlineStr">
        <is>
          <t>FL</t>
        </is>
      </c>
      <c r="C19" s="6" t="inlineStr">
        <is>
          <t>MI</t>
        </is>
      </c>
      <c r="D19" s="6" t="inlineStr">
        <is>
          <t>IL</t>
        </is>
      </c>
      <c r="E19" s="6" t="inlineStr">
        <is>
          <t>FL</t>
        </is>
      </c>
      <c r="F19" s="6" t="inlineStr">
        <is>
          <t>FL</t>
        </is>
      </c>
    </row>
    <row r="20">
      <c r="A20" s="15" t="inlineStr">
        <is>
          <t>judicial</t>
        </is>
      </c>
      <c r="B20" s="16" t="inlineStr">
        <is>
          <t>Y</t>
        </is>
      </c>
      <c r="C20" s="16" t="inlineStr">
        <is>
          <t>N</t>
        </is>
      </c>
      <c r="D20" s="16" t="inlineStr">
        <is>
          <t>Y</t>
        </is>
      </c>
      <c r="E20" s="16" t="inlineStr">
        <is>
          <t>Y</t>
        </is>
      </c>
      <c r="F20" s="16" t="inlineStr">
        <is>
          <t>Y</t>
        </is>
      </c>
    </row>
    <row r="21">
      <c r="A21" s="15" t="inlineStr">
        <is>
          <t>demand_start_date</t>
        </is>
      </c>
      <c r="B21" s="6" t="inlineStr">
        <is>
          <t>2025-02-18</t>
        </is>
      </c>
      <c r="C21" s="6" t="inlineStr">
        <is>
          <t>2025-11-17</t>
        </is>
      </c>
      <c r="D21" s="6" t="inlineStr">
        <is>
          <t>2025-05-20</t>
        </is>
      </c>
      <c r="E21" s="6" t="inlineStr">
        <is>
          <t>2024-08-12</t>
        </is>
      </c>
      <c r="F21" s="6" t="inlineStr">
        <is>
          <t>2026-04-10</t>
        </is>
      </c>
    </row>
    <row r="22">
      <c r="A22" s="15" t="inlineStr">
        <is>
          <t>demand_end_date</t>
        </is>
      </c>
      <c r="B22" s="16" t="inlineStr">
        <is>
          <t>2025-03-25</t>
        </is>
      </c>
      <c r="C22" s="16" t="inlineStr">
        <is>
          <t>2025-12-22</t>
        </is>
      </c>
      <c r="D22" s="16" t="inlineStr">
        <is>
          <t>2025-06-24</t>
        </is>
      </c>
      <c r="E22" s="16" t="inlineStr">
        <is>
          <t>2024-09-18</t>
        </is>
      </c>
      <c r="F22" s="16" t="inlineStr">
        <is>
          <t>2026-05-15</t>
        </is>
      </c>
    </row>
    <row r="23">
      <c r="A23" s="15" t="inlineStr">
        <is>
          <t>demand_stage_days</t>
        </is>
      </c>
      <c r="B23" s="6" t="inlineStr">
        <is>
          <t>464</t>
        </is>
      </c>
      <c r="C23" s="6" t="inlineStr">
        <is>
          <t>193</t>
        </is>
      </c>
      <c r="D23" s="6" t="inlineStr">
        <is>
          <t>333</t>
        </is>
      </c>
      <c r="E23" s="6" t="inlineStr">
        <is>
          <t>431</t>
        </is>
      </c>
      <c r="F23" s="6" t="inlineStr">
        <is>
          <t>54</t>
        </is>
      </c>
    </row>
    <row r="24">
      <c r="A24" s="15" t="inlineStr">
        <is>
          <t>demand_in_lm_days</t>
        </is>
      </c>
      <c r="B24" s="16" t="inlineStr">
        <is>
          <t>—</t>
        </is>
      </c>
      <c r="C24" s="16" t="inlineStr">
        <is>
          <t>93</t>
        </is>
      </c>
      <c r="D24" s="16" t="inlineStr">
        <is>
          <t>197</t>
        </is>
      </c>
      <c r="E24" s="16" t="inlineStr">
        <is>
          <t>—</t>
        </is>
      </c>
      <c r="F24" s="16" t="inlineStr">
        <is>
          <t>—</t>
        </is>
      </c>
    </row>
    <row r="25">
      <c r="A25" s="15" t="inlineStr">
        <is>
          <t>demand_on_hold_days</t>
        </is>
      </c>
      <c r="B25" s="6" t="inlineStr">
        <is>
          <t>—</t>
        </is>
      </c>
      <c r="C25" s="6" t="inlineStr">
        <is>
          <t>17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</row>
    <row r="26">
      <c r="A26" s="15" t="inlineStr">
        <is>
          <t>noi_start_date</t>
        </is>
      </c>
      <c r="B26" s="16" t="inlineStr">
        <is>
          <t>—</t>
        </is>
      </c>
      <c r="C26" s="16" t="inlineStr">
        <is>
          <t>—</t>
        </is>
      </c>
      <c r="D26" s="16" t="inlineStr">
        <is>
          <t>—</t>
        </is>
      </c>
      <c r="E26" s="16" t="inlineStr">
        <is>
          <t>—</t>
        </is>
      </c>
      <c r="F26" s="16" t="inlineStr">
        <is>
          <t>—</t>
        </is>
      </c>
    </row>
    <row r="27">
      <c r="A27" s="15" t="inlineStr">
        <is>
          <t>noi_end_date</t>
        </is>
      </c>
      <c r="B27" s="6" t="inlineStr">
        <is>
          <t>—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—</t>
        </is>
      </c>
    </row>
    <row r="28">
      <c r="A28" s="15" t="inlineStr">
        <is>
          <t>noi_stage_days</t>
        </is>
      </c>
      <c r="B28" s="16" t="inlineStr">
        <is>
          <t>—</t>
        </is>
      </c>
      <c r="C28" s="16" t="inlineStr">
        <is>
          <t>—</t>
        </is>
      </c>
      <c r="D28" s="16" t="inlineStr">
        <is>
          <t>—</t>
        </is>
      </c>
      <c r="E28" s="16" t="inlineStr">
        <is>
          <t>—</t>
        </is>
      </c>
      <c r="F28" s="16" t="inlineStr">
        <is>
          <t>—</t>
        </is>
      </c>
    </row>
    <row r="29">
      <c r="A29" s="15" t="inlineStr">
        <is>
          <t>noi_in_lm_days</t>
        </is>
      </c>
      <c r="B29" s="6" t="inlineStr">
        <is>
          <t>—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</row>
    <row r="30">
      <c r="A30" s="15" t="inlineStr">
        <is>
          <t>noi_on_hold_days</t>
        </is>
      </c>
      <c r="B30" s="16" t="inlineStr">
        <is>
          <t>—</t>
        </is>
      </c>
      <c r="C30" s="16" t="inlineStr">
        <is>
          <t>—</t>
        </is>
      </c>
      <c r="D30" s="16" t="inlineStr">
        <is>
          <t>—</t>
        </is>
      </c>
      <c r="E30" s="16" t="inlineStr">
        <is>
          <t>—</t>
        </is>
      </c>
      <c r="F30" s="16" t="inlineStr">
        <is>
          <t>—</t>
        </is>
      </c>
    </row>
    <row r="31">
      <c r="A31" s="15" t="inlineStr">
        <is>
          <t>referral_start_date</t>
        </is>
      </c>
      <c r="B31" s="6" t="inlineStr">
        <is>
          <t>2025-05-23</t>
        </is>
      </c>
      <c r="C31" s="6" t="inlineStr">
        <is>
          <t>2026-03-09</t>
        </is>
      </c>
      <c r="D31" s="6" t="inlineStr">
        <is>
          <t>2025-06-27</t>
        </is>
      </c>
      <c r="E31" s="6" t="inlineStr">
        <is>
          <t>2025-02-03</t>
        </is>
      </c>
      <c r="F31" s="6" t="inlineStr">
        <is>
          <t>—</t>
        </is>
      </c>
    </row>
    <row r="32">
      <c r="A32" s="15" t="inlineStr">
        <is>
          <t>referral_end_date</t>
        </is>
      </c>
      <c r="B32" s="16" t="inlineStr">
        <is>
          <t>2025-06-13</t>
        </is>
      </c>
      <c r="C32" s="16" t="inlineStr">
        <is>
          <t>2026-03-25</t>
        </is>
      </c>
      <c r="D32" s="16" t="inlineStr">
        <is>
          <t>2025-07-21</t>
        </is>
      </c>
      <c r="E32" s="16" t="inlineStr">
        <is>
          <t>2025-03-27</t>
        </is>
      </c>
      <c r="F32" s="16" t="inlineStr">
        <is>
          <t>—</t>
        </is>
      </c>
    </row>
    <row r="33">
      <c r="A33" s="15" t="inlineStr">
        <is>
          <t>referral_stage_days</t>
        </is>
      </c>
      <c r="B33" s="6" t="inlineStr">
        <is>
          <t>22</t>
        </is>
      </c>
      <c r="C33" s="6" t="inlineStr">
        <is>
          <t>17</t>
        </is>
      </c>
      <c r="D33" s="6" t="inlineStr">
        <is>
          <t>25</t>
        </is>
      </c>
      <c r="E33" s="6" t="inlineStr">
        <is>
          <t>53</t>
        </is>
      </c>
      <c r="F33" s="6" t="inlineStr">
        <is>
          <t>—</t>
        </is>
      </c>
    </row>
    <row r="34">
      <c r="A34" s="15" t="inlineStr">
        <is>
          <t>referral_in_lm_days</t>
        </is>
      </c>
      <c r="B34" s="16" t="inlineStr">
        <is>
          <t>—</t>
        </is>
      </c>
      <c r="C34" s="16" t="inlineStr">
        <is>
          <t>—</t>
        </is>
      </c>
      <c r="D34" s="16" t="inlineStr">
        <is>
          <t>—</t>
        </is>
      </c>
      <c r="E34" s="16" t="inlineStr">
        <is>
          <t>—</t>
        </is>
      </c>
      <c r="F34" s="16" t="inlineStr">
        <is>
          <t>—</t>
        </is>
      </c>
    </row>
    <row r="35">
      <c r="A35" s="15" t="inlineStr">
        <is>
          <t>referral_on_hold_days</t>
        </is>
      </c>
      <c r="B35" s="6" t="inlineStr">
        <is>
          <t>—</t>
        </is>
      </c>
      <c r="C35" s="6" t="inlineStr">
        <is>
          <t>1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</row>
    <row r="36">
      <c r="A36" s="15" t="inlineStr">
        <is>
          <t>first_legal_start_date</t>
        </is>
      </c>
      <c r="B36" s="16" t="inlineStr">
        <is>
          <t>2025-06-13</t>
        </is>
      </c>
      <c r="C36" s="16" t="inlineStr">
        <is>
          <t>2026-03-25</t>
        </is>
      </c>
      <c r="D36" s="16" t="inlineStr">
        <is>
          <t>2025-07-21</t>
        </is>
      </c>
      <c r="E36" s="16" t="inlineStr">
        <is>
          <t>2025-03-27</t>
        </is>
      </c>
      <c r="F36" s="16" t="inlineStr">
        <is>
          <t>—</t>
        </is>
      </c>
    </row>
    <row r="37">
      <c r="A37" s="15" t="inlineStr">
        <is>
          <t>first_legal_end_date</t>
        </is>
      </c>
      <c r="B37" s="6" t="inlineStr">
        <is>
          <t>2025-07-18</t>
        </is>
      </c>
      <c r="C37" s="6" t="inlineStr">
        <is>
          <t>—</t>
        </is>
      </c>
      <c r="D37" s="6" t="inlineStr">
        <is>
          <t>2025-12-24</t>
        </is>
      </c>
      <c r="E37" s="6" t="inlineStr">
        <is>
          <t>2025-05-03</t>
        </is>
      </c>
      <c r="F37" s="6" t="inlineStr">
        <is>
          <t>—</t>
        </is>
      </c>
    </row>
    <row r="38">
      <c r="A38" s="15" t="inlineStr">
        <is>
          <t>first_legal_stage_days</t>
        </is>
      </c>
      <c r="B38" s="16" t="inlineStr">
        <is>
          <t>36</t>
        </is>
      </c>
      <c r="C38" s="16" t="inlineStr">
        <is>
          <t>65</t>
        </is>
      </c>
      <c r="D38" s="16" t="inlineStr">
        <is>
          <t>157</t>
        </is>
      </c>
      <c r="E38" s="16" t="inlineStr">
        <is>
          <t>38</t>
        </is>
      </c>
      <c r="F38" s="16" t="inlineStr">
        <is>
          <t>—</t>
        </is>
      </c>
    </row>
    <row r="39">
      <c r="A39" s="15" t="inlineStr">
        <is>
          <t>first_legal_in_lm_days</t>
        </is>
      </c>
      <c r="B39" s="6" t="inlineStr">
        <is>
          <t>—</t>
        </is>
      </c>
      <c r="C39" s="6" t="inlineStr">
        <is>
          <t>—</t>
        </is>
      </c>
      <c r="D39" s="6" t="inlineStr">
        <is>
          <t>83</t>
        </is>
      </c>
      <c r="E39" s="6" t="inlineStr">
        <is>
          <t>—</t>
        </is>
      </c>
      <c r="F39" s="6" t="inlineStr">
        <is>
          <t>—</t>
        </is>
      </c>
    </row>
    <row r="40">
      <c r="A40" s="15" t="inlineStr">
        <is>
          <t>first_legal_on_hold_days</t>
        </is>
      </c>
      <c r="B40" s="16" t="inlineStr">
        <is>
          <t>—</t>
        </is>
      </c>
      <c r="C40" s="16" t="inlineStr">
        <is>
          <t>17</t>
        </is>
      </c>
      <c r="D40" s="16" t="inlineStr">
        <is>
          <t>—</t>
        </is>
      </c>
      <c r="E40" s="16" t="inlineStr">
        <is>
          <t>—</t>
        </is>
      </c>
      <c r="F40" s="16" t="inlineStr">
        <is>
          <t>—</t>
        </is>
      </c>
    </row>
    <row r="41">
      <c r="A41" s="15" t="inlineStr">
        <is>
          <t>first_legal_date_history</t>
        </is>
      </c>
      <c r="B41" s="6" t="inlineStr">
        <is>
          <t>—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</row>
    <row r="42">
      <c r="A42" s="15" t="inlineStr">
        <is>
          <t>service_start_date</t>
        </is>
      </c>
      <c r="B42" s="16" t="inlineStr">
        <is>
          <t>2025-07-18</t>
        </is>
      </c>
      <c r="C42" s="16" t="inlineStr">
        <is>
          <t>—</t>
        </is>
      </c>
      <c r="D42" s="16" t="inlineStr">
        <is>
          <t>2025-12-24</t>
        </is>
      </c>
      <c r="E42" s="16" t="inlineStr">
        <is>
          <t>2025-05-03</t>
        </is>
      </c>
      <c r="F42" s="16" t="inlineStr">
        <is>
          <t>—</t>
        </is>
      </c>
    </row>
    <row r="43">
      <c r="A43" s="15" t="inlineStr">
        <is>
          <t>service_end_date</t>
        </is>
      </c>
      <c r="B43" s="6" t="inlineStr">
        <is>
          <t>2025-12-17</t>
        </is>
      </c>
      <c r="C43" s="6" t="inlineStr">
        <is>
          <t>—</t>
        </is>
      </c>
      <c r="D43" s="6" t="inlineStr">
        <is>
          <t>2026-02-13</t>
        </is>
      </c>
      <c r="E43" s="6" t="inlineStr">
        <is>
          <t>2025-07-15</t>
        </is>
      </c>
      <c r="F43" s="6" t="inlineStr">
        <is>
          <t>—</t>
        </is>
      </c>
    </row>
    <row r="44">
      <c r="A44" s="15" t="inlineStr">
        <is>
          <t>service_stage_days</t>
        </is>
      </c>
      <c r="B44" s="16" t="inlineStr">
        <is>
          <t>153</t>
        </is>
      </c>
      <c r="C44" s="16" t="inlineStr">
        <is>
          <t>—</t>
        </is>
      </c>
      <c r="D44" s="16" t="inlineStr">
        <is>
          <t>52</t>
        </is>
      </c>
      <c r="E44" s="16" t="inlineStr">
        <is>
          <t>74</t>
        </is>
      </c>
      <c r="F44" s="16" t="inlineStr">
        <is>
          <t>—</t>
        </is>
      </c>
    </row>
    <row r="45">
      <c r="A45" s="15" t="inlineStr">
        <is>
          <t>service_in_lm_days</t>
        </is>
      </c>
      <c r="B45" s="6" t="inlineStr">
        <is>
          <t>—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</row>
    <row r="46">
      <c r="A46" s="15" t="inlineStr">
        <is>
          <t>service_on_hold_days</t>
        </is>
      </c>
      <c r="B46" s="16" t="inlineStr">
        <is>
          <t>—</t>
        </is>
      </c>
      <c r="C46" s="16" t="inlineStr">
        <is>
          <t>—</t>
        </is>
      </c>
      <c r="D46" s="16" t="inlineStr">
        <is>
          <t>—</t>
        </is>
      </c>
      <c r="E46" s="16" t="inlineStr">
        <is>
          <t>—</t>
        </is>
      </c>
      <c r="F46" s="16" t="inlineStr">
        <is>
          <t>—</t>
        </is>
      </c>
    </row>
    <row r="47">
      <c r="A47" s="15" t="inlineStr">
        <is>
          <t>publication_start_date</t>
        </is>
      </c>
      <c r="B47" s="6" t="inlineStr">
        <is>
          <t>—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</row>
    <row r="48">
      <c r="A48" s="15" t="inlineStr">
        <is>
          <t>publication_end_date</t>
        </is>
      </c>
      <c r="B48" s="16" t="inlineStr">
        <is>
          <t>—</t>
        </is>
      </c>
      <c r="C48" s="16" t="inlineStr">
        <is>
          <t>—</t>
        </is>
      </c>
      <c r="D48" s="16" t="inlineStr">
        <is>
          <t>—</t>
        </is>
      </c>
      <c r="E48" s="16" t="inlineStr">
        <is>
          <t>—</t>
        </is>
      </c>
      <c r="F48" s="16" t="inlineStr">
        <is>
          <t>—</t>
        </is>
      </c>
    </row>
    <row r="49">
      <c r="A49" s="15" t="inlineStr">
        <is>
          <t>publication_stage_days</t>
        </is>
      </c>
      <c r="B49" s="6" t="inlineStr">
        <is>
          <t>—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</row>
    <row r="50">
      <c r="A50" s="15" t="inlineStr">
        <is>
          <t>publication_in_lm_days</t>
        </is>
      </c>
      <c r="B50" s="16" t="inlineStr">
        <is>
          <t>—</t>
        </is>
      </c>
      <c r="C50" s="16" t="inlineStr">
        <is>
          <t>—</t>
        </is>
      </c>
      <c r="D50" s="16" t="inlineStr">
        <is>
          <t>—</t>
        </is>
      </c>
      <c r="E50" s="16" t="inlineStr">
        <is>
          <t>—</t>
        </is>
      </c>
      <c r="F50" s="16" t="inlineStr">
        <is>
          <t>—</t>
        </is>
      </c>
    </row>
    <row r="51">
      <c r="A51" s="15" t="inlineStr">
        <is>
          <t>publication_on_hold_days</t>
        </is>
      </c>
      <c r="B51" s="6" t="inlineStr">
        <is>
          <t>—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</row>
    <row r="52">
      <c r="A52" s="15" t="inlineStr">
        <is>
          <t>judgement_start_date</t>
        </is>
      </c>
      <c r="B52" s="16" t="inlineStr">
        <is>
          <t>2026-03-27</t>
        </is>
      </c>
      <c r="C52" s="16" t="inlineStr">
        <is>
          <t>—</t>
        </is>
      </c>
      <c r="D52" s="16" t="inlineStr">
        <is>
          <t>2026-04-13</t>
        </is>
      </c>
      <c r="E52" s="16" t="inlineStr">
        <is>
          <t>2025-10-15</t>
        </is>
      </c>
      <c r="F52" s="16" t="inlineStr">
        <is>
          <t>—</t>
        </is>
      </c>
    </row>
    <row r="53">
      <c r="A53" s="15" t="inlineStr">
        <is>
          <t>judgement_end_date</t>
        </is>
      </c>
      <c r="B53" s="6" t="inlineStr">
        <is>
          <t>—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</row>
    <row r="54">
      <c r="A54" s="15" t="inlineStr">
        <is>
          <t>to_judgement_days</t>
        </is>
      </c>
      <c r="B54" s="16" t="inlineStr">
        <is>
          <t>0</t>
        </is>
      </c>
      <c r="C54" s="16" t="inlineStr">
        <is>
          <t>—</t>
        </is>
      </c>
      <c r="D54" s="16" t="inlineStr">
        <is>
          <t>0</t>
        </is>
      </c>
      <c r="E54" s="16" t="inlineStr">
        <is>
          <t>0</t>
        </is>
      </c>
      <c r="F54" s="16" t="inlineStr">
        <is>
          <t>—</t>
        </is>
      </c>
    </row>
    <row r="55">
      <c r="A55" s="15" t="inlineStr">
        <is>
          <t>judgement_in_lm_days</t>
        </is>
      </c>
      <c r="B55" s="6" t="inlineStr">
        <is>
          <t>—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</row>
    <row r="56">
      <c r="A56" s="15" t="inlineStr">
        <is>
          <t>judgement_on_hold_days</t>
        </is>
      </c>
      <c r="B56" s="16" t="inlineStr">
        <is>
          <t>—</t>
        </is>
      </c>
      <c r="C56" s="16" t="inlineStr">
        <is>
          <t>—</t>
        </is>
      </c>
      <c r="D56" s="16" t="inlineStr">
        <is>
          <t>—</t>
        </is>
      </c>
      <c r="E56" s="16" t="inlineStr">
        <is>
          <t>—</t>
        </is>
      </c>
      <c r="F56" s="16" t="inlineStr">
        <is>
          <t>—</t>
        </is>
      </c>
    </row>
    <row r="57">
      <c r="A57" s="15" t="inlineStr">
        <is>
          <t>sale_start_date</t>
        </is>
      </c>
      <c r="B57" s="6" t="inlineStr">
        <is>
          <t>—</t>
        </is>
      </c>
      <c r="C57" s="6" t="inlineStr">
        <is>
          <t>2026-08-06</t>
        </is>
      </c>
      <c r="D57" s="6" t="inlineStr">
        <is>
          <t>2026-05-19</t>
        </is>
      </c>
      <c r="E57" s="6" t="inlineStr">
        <is>
          <t>—</t>
        </is>
      </c>
      <c r="F57" s="6" t="inlineStr">
        <is>
          <t>—</t>
        </is>
      </c>
    </row>
    <row r="58">
      <c r="A58" s="15" t="inlineStr">
        <is>
          <t>sale_end_date</t>
        </is>
      </c>
      <c r="B58" s="16" t="inlineStr">
        <is>
          <t>—</t>
        </is>
      </c>
      <c r="C58" s="16" t="inlineStr">
        <is>
          <t>—</t>
        </is>
      </c>
      <c r="D58" s="16" t="inlineStr">
        <is>
          <t>—</t>
        </is>
      </c>
      <c r="E58" s="16" t="inlineStr">
        <is>
          <t>—</t>
        </is>
      </c>
      <c r="F58" s="16" t="inlineStr">
        <is>
          <t>—</t>
        </is>
      </c>
    </row>
    <row r="59">
      <c r="A59" s="15" t="inlineStr">
        <is>
          <t>to_sale_days</t>
        </is>
      </c>
      <c r="B59" s="6" t="inlineStr">
        <is>
          <t>—</t>
        </is>
      </c>
      <c r="C59" s="6" t="inlineStr">
        <is>
          <t>70</t>
        </is>
      </c>
      <c r="D59" s="6" t="inlineStr">
        <is>
          <t>32</t>
        </is>
      </c>
      <c r="E59" s="6" t="inlineStr">
        <is>
          <t>—</t>
        </is>
      </c>
      <c r="F59" s="6" t="inlineStr">
        <is>
          <t>—</t>
        </is>
      </c>
    </row>
    <row r="60">
      <c r="A60" s="15" t="inlineStr">
        <is>
          <t>sale_in_lm_days</t>
        </is>
      </c>
      <c r="B60" s="16" t="inlineStr">
        <is>
          <t>—</t>
        </is>
      </c>
      <c r="C60" s="16" t="inlineStr">
        <is>
          <t>—</t>
        </is>
      </c>
      <c r="D60" s="16" t="inlineStr">
        <is>
          <t>—</t>
        </is>
      </c>
      <c r="E60" s="16" t="inlineStr">
        <is>
          <t>—</t>
        </is>
      </c>
      <c r="F60" s="16" t="inlineStr">
        <is>
          <t>—</t>
        </is>
      </c>
    </row>
    <row r="61">
      <c r="A61" s="15" t="inlineStr">
        <is>
          <t>sale_on_hold_days</t>
        </is>
      </c>
      <c r="B61" s="6" t="inlineStr">
        <is>
          <t>—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</row>
    <row r="62">
      <c r="A62" s="15" t="inlineStr">
        <is>
          <t>stage</t>
        </is>
      </c>
      <c r="B62" s="16" t="inlineStr">
        <is>
          <t>JUDGEMENT</t>
        </is>
      </c>
      <c r="C62" s="16" t="inlineStr">
        <is>
          <t>SALE</t>
        </is>
      </c>
      <c r="D62" s="16" t="inlineStr">
        <is>
          <t>SALE</t>
        </is>
      </c>
      <c r="E62" s="16" t="inlineStr">
        <is>
          <t>JUDGEMENT</t>
        </is>
      </c>
      <c r="F62" s="16" t="inlineStr">
        <is>
          <t>DEMAND</t>
        </is>
      </c>
    </row>
  </sheetData>
  <mergeCells count="13">
    <mergeCell ref="A2:F2"/>
    <mergeCell ref="A11:F11"/>
    <mergeCell ref="A10:F10"/>
    <mergeCell ref="A13:F13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7" t="inlineStr">
        <is>
          <t>port.portfunding — 融资池表（入库 JOIN 过滤；1 行/贷款）</t>
        </is>
      </c>
    </row>
    <row r="2">
      <c r="A2" s="13" t="inlineStr">
        <is>
          <t>全 57 字段 · 取数口径：当前态(1行/贷款) · 命中 5/5 贷款（无行的贷款列显示 —） · prod 实测 2026-06-04 · 业务日 2026-06-01</t>
        </is>
      </c>
    </row>
    <row r="3" ht="56" customHeight="1">
      <c r="A3" s="14" t="inlineStr">
        <is>
          <t>查询 SQL（prod 只读）：
-- port.portfunding · redshift_prod(只读) · 当前态 1 行/贷款 · 业务日 2026-06-01
SELECT * FROM port.portfunding WHERE loanid IN ('7727000088','7727000672','7727004200','7727000065','7727000010') ORDER BY loanid;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45" customHeight="1">
      <c r="A5" s="36" t="inlineStr">
        <is>
          <t>业务含义/目的：融资池表(57 列，1 行/贷款)——funding/deal 标识(fundingid/dealid)与池属性。 作为 JOIN 维度为 FCL 输出补 funding_id/bid_id，并做入库过滤。</t>
        </is>
      </c>
    </row>
    <row r="6" ht="30" customHeight="1">
      <c r="A6" s="36" t="inlineStr">
        <is>
          <t>何时来查：查某贷款属于哪个融资池/deal，或为何被 sync 过滤进/出。</t>
        </is>
      </c>
    </row>
    <row r="7" ht="45" customHeight="1">
      <c r="A7" s="36" t="inlineStr">
        <is>
          <t>为什么这样处理：BPS 需按 funding/bid 维展示与归集；FCL 表本身不含，运行时 JOIN portfunding 补齐(dealid→bid_id, fundingid→funding_id)。</t>
        </is>
      </c>
    </row>
    <row r="8" ht="18" customHeight="1">
      <c r="A8" s="36" t="inlineStr">
        <is>
          <t>数据粒度：1 行/贷款（当前态）。</t>
        </is>
      </c>
    </row>
    <row r="9" ht="30" customHeight="1">
      <c r="A9" s="36" t="inlineStr">
        <is>
          <t>上游链路：投资/融资域(非 servicer FCL 文件) → port.portfunding</t>
        </is>
      </c>
    </row>
    <row r="10" ht="18" customHeight="1">
      <c r="A10" s="36" t="inlineStr">
        <is>
          <t>全部上游表：投资/融资域来源（非 FCL servicer 文件）</t>
        </is>
      </c>
    </row>
    <row r="11" ht="75" customHeight="1">
      <c r="A11" s="36" t="inlineStr">
        <is>
          <t>下游链路：portfunding ⋈ { port.fcl_stage_info / GEN_FORECLOSURE(asset_managment_config.py:535-608) } → bpms.sync_fcl_stage_info / bpms.sync_loan_foreclosure → 视图 → BPS</t>
        </is>
      </c>
    </row>
    <row r="12" ht="60" customHeight="1">
      <c r="A12" s="36" t="inlineStr">
        <is>
          <t>全部下游表：port.fcl_stage_info、bpms.sync_fcl_stage_info、bpms.sync_loan_foreclosure、bpms.biz_data_view_loan_details_foreclosure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8" t="inlineStr">
        <is>
          <t>字段</t>
        </is>
      </c>
      <c r="B14" s="8" t="inlineStr">
        <is>
          <t>7727000088</t>
        </is>
      </c>
      <c r="C14" s="8" t="inlineStr">
        <is>
          <t>7727000672</t>
        </is>
      </c>
      <c r="D14" s="8" t="inlineStr">
        <is>
          <t>7727004200</t>
        </is>
      </c>
      <c r="E14" s="8" t="inlineStr">
        <is>
          <t>7727000065</t>
        </is>
      </c>
      <c r="F14" s="8" t="inlineStr">
        <is>
          <t>7727000010</t>
        </is>
      </c>
    </row>
    <row r="15">
      <c r="A15" s="15" t="inlineStr">
        <is>
          <t>fundingid</t>
        </is>
      </c>
      <c r="B15" s="6" t="inlineStr">
        <is>
          <t>HMP002</t>
        </is>
      </c>
      <c r="C15" s="6" t="inlineStr">
        <is>
          <t>IMPAC001</t>
        </is>
      </c>
      <c r="D15" s="6" t="inlineStr">
        <is>
          <t>BOA002</t>
        </is>
      </c>
      <c r="E15" s="6" t="inlineStr">
        <is>
          <t>HMP002</t>
        </is>
      </c>
      <c r="F15" s="6" t="inlineStr">
        <is>
          <t>HMP002</t>
        </is>
      </c>
    </row>
    <row r="16">
      <c r="A16" s="15" t="inlineStr">
        <is>
          <t>dealid</t>
        </is>
      </c>
      <c r="B16" s="16" t="inlineStr">
        <is>
          <t>HMP002</t>
        </is>
      </c>
      <c r="C16" s="16" t="inlineStr">
        <is>
          <t>IMPAC001</t>
        </is>
      </c>
      <c r="D16" s="16" t="inlineStr">
        <is>
          <t>BOA002</t>
        </is>
      </c>
      <c r="E16" s="16" t="inlineStr">
        <is>
          <t>HMP002</t>
        </is>
      </c>
      <c r="F16" s="16" t="inlineStr">
        <is>
          <t>HMP002</t>
        </is>
      </c>
    </row>
    <row r="17">
      <c r="A17" s="15" t="inlineStr">
        <is>
          <t>cutoffdate</t>
        </is>
      </c>
      <c r="B17" s="6" t="inlineStr">
        <is>
          <t>2023-01-25</t>
        </is>
      </c>
      <c r="C17" s="6" t="inlineStr">
        <is>
          <t>2023-07-05</t>
        </is>
      </c>
      <c r="D17" s="6" t="inlineStr">
        <is>
          <t>2024-06-01</t>
        </is>
      </c>
      <c r="E17" s="6" t="inlineStr">
        <is>
          <t>2023-01-25</t>
        </is>
      </c>
      <c r="F17" s="6" t="inlineStr">
        <is>
          <t>2023-01-25</t>
        </is>
      </c>
    </row>
    <row r="18">
      <c r="A18" s="15" t="inlineStr">
        <is>
          <t>settledate</t>
        </is>
      </c>
      <c r="B18" s="16" t="inlineStr">
        <is>
          <t>2023-01-31</t>
        </is>
      </c>
      <c r="C18" s="16" t="inlineStr">
        <is>
          <t>2023-07-18</t>
        </is>
      </c>
      <c r="D18" s="16" t="inlineStr">
        <is>
          <t>2024-06-26</t>
        </is>
      </c>
      <c r="E18" s="16" t="inlineStr">
        <is>
          <t>2023-01-31</t>
        </is>
      </c>
      <c r="F18" s="16" t="inlineStr">
        <is>
          <t>2023-01-31</t>
        </is>
      </c>
    </row>
    <row r="19">
      <c r="A19" s="15" t="inlineStr">
        <is>
          <t>wal</t>
        </is>
      </c>
      <c r="B19" s="6" t="inlineStr">
        <is>
          <t>8.03</t>
        </is>
      </c>
      <c r="C19" s="6" t="inlineStr">
        <is>
          <t>8.06</t>
        </is>
      </c>
      <c r="D19" s="6" t="inlineStr">
        <is>
          <t>5.66</t>
        </is>
      </c>
      <c r="E19" s="6" t="inlineStr">
        <is>
          <t>8.03</t>
        </is>
      </c>
      <c r="F19" s="6" t="inlineStr">
        <is>
          <t>8.03</t>
        </is>
      </c>
    </row>
    <row r="20">
      <c r="A20" s="15" t="inlineStr">
        <is>
          <t>hurdlespread</t>
        </is>
      </c>
      <c r="B20" s="16" t="inlineStr">
        <is>
          <t>415</t>
        </is>
      </c>
      <c r="C20" s="16" t="inlineStr">
        <is>
          <t>408</t>
        </is>
      </c>
      <c r="D20" s="16" t="inlineStr">
        <is>
          <t>332</t>
        </is>
      </c>
      <c r="E20" s="16" t="inlineStr">
        <is>
          <t>415</t>
        </is>
      </c>
      <c r="F20" s="16" t="inlineStr">
        <is>
          <t>415</t>
        </is>
      </c>
    </row>
    <row r="21">
      <c r="A21" s="15" t="inlineStr">
        <is>
          <t>hurdleyield</t>
        </is>
      </c>
      <c r="B21" s="6" t="inlineStr">
        <is>
          <t>7.57</t>
        </is>
      </c>
      <c r="C21" s="6" t="inlineStr">
        <is>
          <t>7.54</t>
        </is>
      </c>
      <c r="D21" s="6" t="inlineStr">
        <is>
          <t>7.36</t>
        </is>
      </c>
      <c r="E21" s="6" t="inlineStr">
        <is>
          <t>7.57</t>
        </is>
      </c>
      <c r="F21" s="6" t="inlineStr">
        <is>
          <t>7.57</t>
        </is>
      </c>
    </row>
    <row r="22">
      <c r="A22" s="15" t="inlineStr">
        <is>
          <t>loanid</t>
        </is>
      </c>
      <c r="B22" s="16" t="inlineStr">
        <is>
          <t>7727000088</t>
        </is>
      </c>
      <c r="C22" s="16" t="inlineStr">
        <is>
          <t>7727000672</t>
        </is>
      </c>
      <c r="D22" s="16" t="inlineStr">
        <is>
          <t>7727004200</t>
        </is>
      </c>
      <c r="E22" s="16" t="inlineStr">
        <is>
          <t>7727000065</t>
        </is>
      </c>
      <c r="F22" s="16" t="inlineStr">
        <is>
          <t>7727000010</t>
        </is>
      </c>
    </row>
    <row r="23">
      <c r="A23" s="15" t="inlineStr">
        <is>
          <t>sellerloanid</t>
        </is>
      </c>
      <c r="B23" s="6" t="inlineStr">
        <is>
          <t>9010021155</t>
        </is>
      </c>
      <c r="C23" s="6" t="inlineStr">
        <is>
          <t>3111022026</t>
        </is>
      </c>
      <c r="D23" s="6" t="inlineStr">
        <is>
          <t>3260057082</t>
        </is>
      </c>
      <c r="E23" s="6" t="inlineStr">
        <is>
          <t>9014327961</t>
        </is>
      </c>
      <c r="F23" s="6" t="inlineStr">
        <is>
          <t>9014059868</t>
        </is>
      </c>
    </row>
    <row r="24">
      <c r="A24" s="15" t="inlineStr">
        <is>
          <t>interestbearingupb</t>
        </is>
      </c>
      <c r="B24" s="16" t="inlineStr">
        <is>
          <t>324035.29</t>
        </is>
      </c>
      <c r="C24" s="16" t="inlineStr">
        <is>
          <t>423410.11</t>
        </is>
      </c>
      <c r="D24" s="16" t="inlineStr">
        <is>
          <t>449829.52</t>
        </is>
      </c>
      <c r="E24" s="16" t="inlineStr">
        <is>
          <t>479480.42</t>
        </is>
      </c>
      <c r="F24" s="16" t="inlineStr">
        <is>
          <t>277928.4</t>
        </is>
      </c>
    </row>
    <row r="25">
      <c r="A25" s="15" t="inlineStr">
        <is>
          <t>deferredprin</t>
        </is>
      </c>
      <c r="B25" s="6" t="inlineStr">
        <is>
          <t>0</t>
        </is>
      </c>
      <c r="C25" s="6" t="inlineStr">
        <is>
          <t>0</t>
        </is>
      </c>
      <c r="D25" s="6" t="inlineStr">
        <is>
          <t>14062.83</t>
        </is>
      </c>
      <c r="E25" s="6" t="inlineStr">
        <is>
          <t>0</t>
        </is>
      </c>
      <c r="F25" s="6" t="inlineStr">
        <is>
          <t>0</t>
        </is>
      </c>
    </row>
    <row r="26">
      <c r="A26" s="15" t="inlineStr">
        <is>
          <t>deferredint</t>
        </is>
      </c>
      <c r="B26" s="16" t="inlineStr">
        <is>
          <t>0</t>
        </is>
      </c>
      <c r="C26" s="16" t="inlineStr">
        <is>
          <t>0</t>
        </is>
      </c>
      <c r="D26" s="16" t="inlineStr">
        <is>
          <t>8753.85</t>
        </is>
      </c>
      <c r="E26" s="16" t="inlineStr">
        <is>
          <t>0</t>
        </is>
      </c>
      <c r="F26" s="16" t="inlineStr">
        <is>
          <t>0</t>
        </is>
      </c>
    </row>
    <row r="27">
      <c r="A27" s="15" t="inlineStr">
        <is>
          <t>netpurchasepriceinterestbearingupb</t>
        </is>
      </c>
      <c r="B27" s="6" t="inlineStr">
        <is>
          <t>82.5613812225759</t>
        </is>
      </c>
      <c r="C27" s="6" t="inlineStr">
        <is>
          <t>101.540001016981</t>
        </is>
      </c>
      <c r="D27" s="6" t="inlineStr">
        <is>
          <t>88.78</t>
        </is>
      </c>
      <c r="E27" s="6" t="inlineStr">
        <is>
          <t>72.37</t>
        </is>
      </c>
      <c r="F27" s="6" t="inlineStr">
        <is>
          <t>72.7996399257241</t>
        </is>
      </c>
    </row>
    <row r="28">
      <c r="A28" s="15" t="inlineStr">
        <is>
          <t>netpurchasepricedeferredprin</t>
        </is>
      </c>
      <c r="B28" s="16" t="inlineStr">
        <is>
          <t>—</t>
        </is>
      </c>
      <c r="C28" s="16" t="inlineStr">
        <is>
          <t>—</t>
        </is>
      </c>
      <c r="D28" s="16" t="inlineStr">
        <is>
          <t>88.78</t>
        </is>
      </c>
      <c r="E28" s="16" t="inlineStr">
        <is>
          <t>—</t>
        </is>
      </c>
      <c r="F28" s="16" t="inlineStr">
        <is>
          <t>—</t>
        </is>
      </c>
    </row>
    <row r="29">
      <c r="A29" s="15" t="inlineStr">
        <is>
          <t>netpurchasepricedeferredint</t>
        </is>
      </c>
      <c r="B29" s="6" t="inlineStr">
        <is>
          <t>—</t>
        </is>
      </c>
      <c r="C29" s="6" t="inlineStr">
        <is>
          <t>—</t>
        </is>
      </c>
      <c r="D29" s="6" t="inlineStr">
        <is>
          <t>88.78</t>
        </is>
      </c>
      <c r="E29" s="6" t="inlineStr">
        <is>
          <t>—</t>
        </is>
      </c>
      <c r="F29" s="6" t="inlineStr">
        <is>
          <t>—</t>
        </is>
      </c>
    </row>
    <row r="30">
      <c r="A30" s="15" t="inlineStr">
        <is>
          <t>interestbearingupbmv</t>
        </is>
      </c>
      <c r="B30" s="16" t="inlineStr">
        <is>
          <t>—</t>
        </is>
      </c>
      <c r="C30" s="16" t="inlineStr">
        <is>
          <t>—</t>
        </is>
      </c>
      <c r="D30" s="16" t="inlineStr">
        <is>
          <t>399358.647856</t>
        </is>
      </c>
      <c r="E30" s="16" t="inlineStr">
        <is>
          <t>—</t>
        </is>
      </c>
      <c r="F30" s="16" t="inlineStr">
        <is>
          <t>—</t>
        </is>
      </c>
    </row>
    <row r="31">
      <c r="A31" s="15" t="inlineStr">
        <is>
          <t>deferredprinbought</t>
        </is>
      </c>
      <c r="B31" s="6" t="inlineStr">
        <is>
          <t>—</t>
        </is>
      </c>
      <c r="C31" s="6" t="inlineStr">
        <is>
          <t>—</t>
        </is>
      </c>
      <c r="D31" s="6" t="inlineStr">
        <is>
          <t>12484.980474</t>
        </is>
      </c>
      <c r="E31" s="6" t="inlineStr">
        <is>
          <t>—</t>
        </is>
      </c>
      <c r="F31" s="6" t="inlineStr">
        <is>
          <t>—</t>
        </is>
      </c>
    </row>
    <row r="32">
      <c r="A32" s="15" t="inlineStr">
        <is>
          <t>deferredintbought</t>
        </is>
      </c>
      <c r="B32" s="16" t="inlineStr">
        <is>
          <t>—</t>
        </is>
      </c>
      <c r="C32" s="16" t="inlineStr">
        <is>
          <t>—</t>
        </is>
      </c>
      <c r="D32" s="16" t="inlineStr">
        <is>
          <t>7771.66803</t>
        </is>
      </c>
      <c r="E32" s="16" t="inlineStr">
        <is>
          <t>—</t>
        </is>
      </c>
      <c r="F32" s="16" t="inlineStr">
        <is>
          <t>—</t>
        </is>
      </c>
    </row>
    <row r="33">
      <c r="A33" s="15" t="inlineStr">
        <is>
          <t>sellercredit</t>
        </is>
      </c>
      <c r="B33" s="6" t="inlineStr">
        <is>
          <t>—</t>
        </is>
      </c>
      <c r="C33" s="6" t="inlineStr">
        <is>
          <t>—</t>
        </is>
      </c>
      <c r="D33" s="6" t="inlineStr">
        <is>
          <t>0</t>
        </is>
      </c>
      <c r="E33" s="6" t="inlineStr">
        <is>
          <t>—</t>
        </is>
      </c>
      <c r="F33" s="6" t="inlineStr">
        <is>
          <t>—</t>
        </is>
      </c>
    </row>
    <row r="34">
      <c r="A34" s="15" t="inlineStr">
        <is>
          <t>netmvtoseller</t>
        </is>
      </c>
      <c r="B34" s="16" t="inlineStr">
        <is>
          <t>267528.011072579</t>
        </is>
      </c>
      <c r="C34" s="16" t="inlineStr">
        <is>
          <t>429930.63</t>
        </is>
      </c>
      <c r="D34" s="16" t="inlineStr">
        <is>
          <t>419615.29636</t>
        </is>
      </c>
      <c r="E34" s="16" t="inlineStr">
        <is>
          <t>346999.979954</t>
        </is>
      </c>
      <c r="F34" s="16" t="inlineStr">
        <is>
          <t>202330.874451326</t>
        </is>
      </c>
    </row>
    <row r="35">
      <c r="A35" s="15" t="inlineStr">
        <is>
          <t>netpurchaseprice</t>
        </is>
      </c>
      <c r="B35" s="6" t="inlineStr">
        <is>
          <t>82.5613812225759</t>
        </is>
      </c>
      <c r="C35" s="6" t="inlineStr">
        <is>
          <t>101.540001016981</t>
        </is>
      </c>
      <c r="D35" s="6" t="inlineStr">
        <is>
          <t>88.78</t>
        </is>
      </c>
      <c r="E35" s="6" t="inlineStr">
        <is>
          <t>72.37</t>
        </is>
      </c>
      <c r="F35" s="6" t="inlineStr">
        <is>
          <t>72.7996399257241</t>
        </is>
      </c>
    </row>
    <row r="36">
      <c r="A36" s="15" t="inlineStr">
        <is>
          <t>intrate</t>
        </is>
      </c>
      <c r="B36" s="16" t="inlineStr">
        <is>
          <t>6.625</t>
        </is>
      </c>
      <c r="C36" s="16" t="inlineStr">
        <is>
          <t>9.875</t>
        </is>
      </c>
      <c r="D36" s="16" t="inlineStr">
        <is>
          <t>2.75</t>
        </is>
      </c>
      <c r="E36" s="16" t="inlineStr">
        <is>
          <t>4.25</t>
        </is>
      </c>
      <c r="F36" s="16" t="inlineStr">
        <is>
          <t>3.625</t>
        </is>
      </c>
    </row>
    <row r="37">
      <c r="A37" s="15" t="inlineStr">
        <is>
          <t>lastpaydt</t>
        </is>
      </c>
      <c r="B37" s="6" t="inlineStr">
        <is>
          <t>2023-01-01</t>
        </is>
      </c>
      <c r="C37" s="6" t="inlineStr">
        <is>
          <t>2023-06-01</t>
        </is>
      </c>
      <c r="D37" s="6" t="inlineStr">
        <is>
          <t>2024-05-01</t>
        </is>
      </c>
      <c r="E37" s="6" t="inlineStr">
        <is>
          <t>2023-01-01</t>
        </is>
      </c>
      <c r="F37" s="6" t="inlineStr">
        <is>
          <t>2023-01-01</t>
        </is>
      </c>
    </row>
    <row r="38">
      <c r="A38" s="15" t="inlineStr">
        <is>
          <t>nextduedate</t>
        </is>
      </c>
      <c r="B38" s="16" t="inlineStr">
        <is>
          <t>2023-02-01</t>
        </is>
      </c>
      <c r="C38" s="16" t="inlineStr">
        <is>
          <t>2023-07-01</t>
        </is>
      </c>
      <c r="D38" s="16" t="inlineStr">
        <is>
          <t>2024-06-01</t>
        </is>
      </c>
      <c r="E38" s="16" t="inlineStr">
        <is>
          <t>2023-02-01</t>
        </is>
      </c>
      <c r="F38" s="16" t="inlineStr">
        <is>
          <t>2023-02-01</t>
        </is>
      </c>
    </row>
    <row r="39">
      <c r="A39" s="15" t="inlineStr">
        <is>
          <t>escrowadvancebought</t>
        </is>
      </c>
      <c r="B39" s="6" t="inlineStr">
        <is>
          <t>0</t>
        </is>
      </c>
      <c r="C39" s="6" t="inlineStr">
        <is>
          <t>0</t>
        </is>
      </c>
      <c r="D39" s="6" t="inlineStr">
        <is>
          <t>0</t>
        </is>
      </c>
      <c r="E39" s="6" t="inlineStr">
        <is>
          <t>0</t>
        </is>
      </c>
      <c r="F39" s="6" t="inlineStr">
        <is>
          <t>0</t>
        </is>
      </c>
    </row>
    <row r="40">
      <c r="A40" s="15" t="inlineStr">
        <is>
          <t>corporateadvancerecoverablebought</t>
        </is>
      </c>
      <c r="B40" s="16" t="inlineStr">
        <is>
          <t>0</t>
        </is>
      </c>
      <c r="C40" s="16" t="inlineStr">
        <is>
          <t>0</t>
        </is>
      </c>
      <c r="D40" s="16" t="inlineStr">
        <is>
          <t>0</t>
        </is>
      </c>
      <c r="E40" s="16" t="inlineStr">
        <is>
          <t>0</t>
        </is>
      </c>
      <c r="F40" s="16" t="inlineStr">
        <is>
          <t>0</t>
        </is>
      </c>
    </row>
    <row r="41">
      <c r="A41" s="15" t="inlineStr">
        <is>
          <t>thirdpartyadvancebought</t>
        </is>
      </c>
      <c r="B41" s="6" t="inlineStr">
        <is>
          <t>0</t>
        </is>
      </c>
      <c r="C41" s="6" t="inlineStr">
        <is>
          <t>0</t>
        </is>
      </c>
      <c r="D41" s="6" t="inlineStr">
        <is>
          <t>0</t>
        </is>
      </c>
      <c r="E41" s="6" t="inlineStr">
        <is>
          <t>0</t>
        </is>
      </c>
      <c r="F41" s="6" t="inlineStr">
        <is>
          <t>0</t>
        </is>
      </c>
    </row>
    <row r="42">
      <c r="A42" s="15" t="inlineStr">
        <is>
          <t>daysaccrued</t>
        </is>
      </c>
      <c r="B42" s="16" t="inlineStr">
        <is>
          <t>30</t>
        </is>
      </c>
      <c r="C42" s="16" t="inlineStr">
        <is>
          <t>47</t>
        </is>
      </c>
      <c r="D42" s="16" t="inlineStr">
        <is>
          <t>55</t>
        </is>
      </c>
      <c r="E42" s="16" t="inlineStr">
        <is>
          <t>30</t>
        </is>
      </c>
      <c r="F42" s="16" t="inlineStr">
        <is>
          <t>30</t>
        </is>
      </c>
    </row>
    <row r="43">
      <c r="A43" s="15" t="inlineStr">
        <is>
          <t>interestaccrued</t>
        </is>
      </c>
      <c r="B43" s="6" t="inlineStr">
        <is>
          <t>1788.94483020833</t>
        </is>
      </c>
      <c r="C43" s="6" t="inlineStr">
        <is>
          <t>5458.76</t>
        </is>
      </c>
      <c r="D43" s="6" t="inlineStr">
        <is>
          <t>1889.90874722222</t>
        </is>
      </c>
      <c r="E43" s="6" t="inlineStr">
        <is>
          <t>1698.15982083333</t>
        </is>
      </c>
      <c r="F43" s="6" t="inlineStr">
        <is>
          <t>839.575375</t>
        </is>
      </c>
    </row>
    <row r="44">
      <c r="A44" s="15" t="inlineStr">
        <is>
          <t>totadv</t>
        </is>
      </c>
      <c r="B44" s="16" t="inlineStr">
        <is>
          <t>0</t>
        </is>
      </c>
      <c r="C44" s="16" t="inlineStr">
        <is>
          <t>0</t>
        </is>
      </c>
      <c r="D44" s="16" t="inlineStr">
        <is>
          <t>0</t>
        </is>
      </c>
      <c r="E44" s="16" t="inlineStr">
        <is>
          <t>0</t>
        </is>
      </c>
      <c r="F44" s="16" t="inlineStr">
        <is>
          <t>0</t>
        </is>
      </c>
    </row>
    <row r="45">
      <c r="A45" s="15" t="inlineStr">
        <is>
          <t>duetoseller</t>
        </is>
      </c>
      <c r="B45" s="6" t="inlineStr">
        <is>
          <t>269316.955902788</t>
        </is>
      </c>
      <c r="C45" s="6" t="inlineStr">
        <is>
          <t>435389.39</t>
        </is>
      </c>
      <c r="D45" s="6" t="inlineStr">
        <is>
          <t>421505.208747222</t>
        </is>
      </c>
      <c r="E45" s="6" t="inlineStr">
        <is>
          <t>348698.139774833</t>
        </is>
      </c>
      <c r="F45" s="6" t="inlineStr">
        <is>
          <t>203170.449826326</t>
        </is>
      </c>
    </row>
    <row r="46">
      <c r="A46" s="15" t="inlineStr">
        <is>
          <t>brokerfeepct</t>
        </is>
      </c>
      <c r="B46" s="16" t="inlineStr">
        <is>
          <t>0.5</t>
        </is>
      </c>
      <c r="C46" s="16" t="inlineStr">
        <is>
          <t>0.5</t>
        </is>
      </c>
      <c r="D46" s="16" t="inlineStr">
        <is>
          <t>0</t>
        </is>
      </c>
      <c r="E46" s="16" t="inlineStr">
        <is>
          <t>0.5</t>
        </is>
      </c>
      <c r="F46" s="16" t="inlineStr">
        <is>
          <t>0.5</t>
        </is>
      </c>
    </row>
    <row r="47">
      <c r="A47" s="15" t="inlineStr">
        <is>
          <t>brokerfee</t>
        </is>
      </c>
      <c r="B47" s="6" t="inlineStr">
        <is>
          <t>1620.17645</t>
        </is>
      </c>
      <c r="C47" s="6" t="inlineStr">
        <is>
          <t>2117.05055</t>
        </is>
      </c>
      <c r="D47" s="6" t="inlineStr">
        <is>
          <t>0</t>
        </is>
      </c>
      <c r="E47" s="6" t="inlineStr">
        <is>
          <t>2397.4021</t>
        </is>
      </c>
      <c r="F47" s="6" t="inlineStr">
        <is>
          <t>1389.642</t>
        </is>
      </c>
    </row>
    <row r="48">
      <c r="A48" s="15" t="inlineStr">
        <is>
          <t>ddcost</t>
        </is>
      </c>
      <c r="B48" s="16" t="inlineStr">
        <is>
          <t>629.56155</t>
        </is>
      </c>
      <c r="C48" s="16" t="inlineStr">
        <is>
          <t>707.27</t>
        </is>
      </c>
      <c r="D48" s="16" t="inlineStr">
        <is>
          <t>333.44</t>
        </is>
      </c>
      <c r="E48" s="16" t="inlineStr">
        <is>
          <t>629.56155</t>
        </is>
      </c>
      <c r="F48" s="16" t="inlineStr">
        <is>
          <t>629.56155</t>
        </is>
      </c>
    </row>
    <row r="49">
      <c r="A49" s="15" t="inlineStr">
        <is>
          <t>sourcingfeefactor</t>
        </is>
      </c>
      <c r="B49" s="6" t="inlineStr">
        <is>
          <t>—</t>
        </is>
      </c>
      <c r="C49" s="6" t="inlineStr">
        <is>
          <t>—</t>
        </is>
      </c>
      <c r="D49" s="6" t="inlineStr">
        <is>
          <t>0.9942</t>
        </is>
      </c>
      <c r="E49" s="6" t="inlineStr">
        <is>
          <t>—</t>
        </is>
      </c>
      <c r="F49" s="6" t="inlineStr">
        <is>
          <t>—</t>
        </is>
      </c>
    </row>
    <row r="50">
      <c r="A50" s="15" t="inlineStr">
        <is>
          <t>sourcingfeepct</t>
        </is>
      </c>
      <c r="B50" s="16" t="inlineStr">
        <is>
          <t>—</t>
        </is>
      </c>
      <c r="C50" s="16" t="inlineStr">
        <is>
          <t>—</t>
        </is>
      </c>
      <c r="D50" s="16" t="inlineStr">
        <is>
          <t>0.25</t>
        </is>
      </c>
      <c r="E50" s="16" t="inlineStr">
        <is>
          <t>—</t>
        </is>
      </c>
      <c r="F50" s="16" t="inlineStr">
        <is>
          <t>—</t>
        </is>
      </c>
    </row>
    <row r="51">
      <c r="A51" s="15" t="inlineStr">
        <is>
          <t>sourcingfee</t>
        </is>
      </c>
      <c r="B51" s="6" t="inlineStr">
        <is>
          <t>674.98</t>
        </is>
      </c>
      <c r="C51" s="6" t="inlineStr">
        <is>
          <t>1089.18</t>
        </is>
      </c>
      <c r="D51" s="6" t="inlineStr">
        <is>
          <t>1048.48</t>
        </is>
      </c>
      <c r="E51" s="6" t="inlineStr">
        <is>
          <t>874.21</t>
        </is>
      </c>
      <c r="F51" s="6" t="inlineStr">
        <is>
          <t>510</t>
        </is>
      </c>
    </row>
    <row r="52">
      <c r="A52" s="15" t="inlineStr">
        <is>
          <t>totaldiscount</t>
        </is>
      </c>
      <c r="B52" s="16" t="inlineStr">
        <is>
          <t>53582.56</t>
        </is>
      </c>
      <c r="C52" s="16" t="inlineStr">
        <is>
          <t>-10434.02</t>
        </is>
      </c>
      <c r="D52" s="16" t="inlineStr">
        <is>
          <t>26942.39</t>
        </is>
      </c>
      <c r="E52" s="16" t="inlineStr">
        <is>
          <t>128579.27</t>
        </is>
      </c>
      <c r="F52" s="16" t="inlineStr">
        <is>
          <t>73068.32</t>
        </is>
      </c>
    </row>
    <row r="53">
      <c r="A53" s="15" t="inlineStr">
        <is>
          <t>discountpct</t>
        </is>
      </c>
      <c r="B53" s="6" t="inlineStr">
        <is>
          <t>0.165360260606183</t>
        </is>
      </c>
      <c r="C53" s="6" t="inlineStr">
        <is>
          <t>-0.0246428220620429</t>
        </is>
      </c>
      <c r="D53" s="6" t="inlineStr">
        <is>
          <t>0.0598946685402061</t>
        </is>
      </c>
      <c r="E53" s="6" t="inlineStr">
        <is>
          <t>0.268163755258244</t>
        </is>
      </c>
      <c r="F53" s="6" t="inlineStr">
        <is>
          <t>0.262903395262953</t>
        </is>
      </c>
    </row>
    <row r="54">
      <c r="A54" s="15" t="inlineStr">
        <is>
          <t>managementfeefactor</t>
        </is>
      </c>
      <c r="B54" s="16" t="inlineStr">
        <is>
          <t>—</t>
        </is>
      </c>
      <c r="C54" s="16" t="inlineStr">
        <is>
          <t>—</t>
        </is>
      </c>
      <c r="D54" s="16" t="inlineStr">
        <is>
          <t>0.9942</t>
        </is>
      </c>
      <c r="E54" s="16" t="inlineStr">
        <is>
          <t>—</t>
        </is>
      </c>
      <c r="F54" s="16" t="inlineStr">
        <is>
          <t>—</t>
        </is>
      </c>
    </row>
    <row r="55">
      <c r="A55" s="15" t="inlineStr">
        <is>
          <t>managementfeepct</t>
        </is>
      </c>
      <c r="B55" s="6" t="inlineStr">
        <is>
          <t>—</t>
        </is>
      </c>
      <c r="C55" s="6" t="inlineStr">
        <is>
          <t>—</t>
        </is>
      </c>
      <c r="D55" s="6" t="inlineStr">
        <is>
          <t>0.375</t>
        </is>
      </c>
      <c r="E55" s="6" t="inlineStr">
        <is>
          <t>—</t>
        </is>
      </c>
      <c r="F55" s="6" t="inlineStr">
        <is>
          <t>—</t>
        </is>
      </c>
    </row>
    <row r="56">
      <c r="A56" s="15" t="inlineStr">
        <is>
          <t>managementfee</t>
        </is>
      </c>
      <c r="B56" s="16" t="inlineStr">
        <is>
          <t>84.5820850606723</t>
        </is>
      </c>
      <c r="C56" s="16" t="inlineStr">
        <is>
          <t>136.485916807753</t>
        </is>
      </c>
      <c r="D56" s="16" t="inlineStr">
        <is>
          <t>131.385744812653</t>
        </is>
      </c>
      <c r="E56" s="16" t="inlineStr">
        <is>
          <t>109.548199189678</t>
        </is>
      </c>
      <c r="F56" s="16" t="inlineStr">
        <is>
          <t>63.9083110583573</t>
        </is>
      </c>
    </row>
    <row r="57">
      <c r="A57" s="15" t="inlineStr">
        <is>
          <t>escrowadvance</t>
        </is>
      </c>
      <c r="B57" s="6" t="inlineStr">
        <is>
          <t>0</t>
        </is>
      </c>
      <c r="C57" s="6" t="inlineStr">
        <is>
          <t>0</t>
        </is>
      </c>
      <c r="D57" s="6" t="inlineStr">
        <is>
          <t>0</t>
        </is>
      </c>
      <c r="E57" s="6" t="inlineStr">
        <is>
          <t>0</t>
        </is>
      </c>
      <c r="F57" s="6" t="inlineStr">
        <is>
          <t>0</t>
        </is>
      </c>
    </row>
    <row r="58">
      <c r="A58" s="15" t="inlineStr">
        <is>
          <t>corporateadvancerecoverable</t>
        </is>
      </c>
      <c r="B58" s="16" t="inlineStr">
        <is>
          <t>0</t>
        </is>
      </c>
      <c r="C58" s="16" t="inlineStr">
        <is>
          <t>0</t>
        </is>
      </c>
      <c r="D58" s="16" t="inlineStr">
        <is>
          <t>0</t>
        </is>
      </c>
      <c r="E58" s="16" t="inlineStr">
        <is>
          <t>0</t>
        </is>
      </c>
      <c r="F58" s="16" t="inlineStr">
        <is>
          <t>0</t>
        </is>
      </c>
    </row>
    <row r="59">
      <c r="A59" s="15" t="inlineStr">
        <is>
          <t>thirdpartyadvance</t>
        </is>
      </c>
      <c r="B59" s="6" t="inlineStr">
        <is>
          <t>0</t>
        </is>
      </c>
      <c r="C59" s="6" t="inlineStr">
        <is>
          <t>0</t>
        </is>
      </c>
      <c r="D59" s="6" t="inlineStr">
        <is>
          <t>0</t>
        </is>
      </c>
      <c r="E59" s="6" t="inlineStr">
        <is>
          <t>0</t>
        </is>
      </c>
      <c r="F59" s="6" t="inlineStr">
        <is>
          <t>0</t>
        </is>
      </c>
    </row>
    <row r="60">
      <c r="A60" s="15" t="inlineStr">
        <is>
          <t>nonrecoverableadvance</t>
        </is>
      </c>
      <c r="B60" s="16" t="inlineStr">
        <is>
          <t>0</t>
        </is>
      </c>
      <c r="C60" s="16" t="inlineStr">
        <is>
          <t>0</t>
        </is>
      </c>
      <c r="D60" s="16" t="inlineStr">
        <is>
          <t>0</t>
        </is>
      </c>
      <c r="E60" s="16" t="inlineStr">
        <is>
          <t>0</t>
        </is>
      </c>
      <c r="F60" s="16" t="inlineStr">
        <is>
          <t>0</t>
        </is>
      </c>
    </row>
    <row r="61">
      <c r="A61" s="15" t="inlineStr">
        <is>
          <t>purchase_net_price</t>
        </is>
      </c>
      <c r="B61" s="6" t="inlineStr">
        <is>
          <t>82.5613812226</t>
        </is>
      </c>
      <c r="C61" s="6" t="inlineStr">
        <is>
          <t>101.540001017</t>
        </is>
      </c>
      <c r="D61" s="6" t="inlineStr">
        <is>
          <t>88.78</t>
        </is>
      </c>
      <c r="E61" s="6" t="inlineStr">
        <is>
          <t>72.37</t>
        </is>
      </c>
      <c r="F61" s="6" t="inlineStr">
        <is>
          <t>72.7996399257</t>
        </is>
      </c>
    </row>
    <row r="62">
      <c r="A62" s="15" t="inlineStr">
        <is>
          <t>internal_net_price</t>
        </is>
      </c>
      <c r="B62" s="16" t="inlineStr">
        <is>
          <t>83.0372862717</t>
        </is>
      </c>
      <c r="C62" s="16" t="inlineStr">
        <is>
          <t>101.152267885</t>
        </is>
      </c>
      <c r="D62" s="16" t="inlineStr">
        <is>
          <t>79.0130389449069</t>
        </is>
      </c>
      <c r="E62" s="16" t="inlineStr">
        <is>
          <t>74.7014579014</t>
        </is>
      </c>
      <c r="F62" s="16" t="inlineStr">
        <is>
          <t>71.4849405604</t>
        </is>
      </c>
    </row>
    <row r="63">
      <c r="A63" s="15" t="inlineStr">
        <is>
          <t>gross_irr</t>
        </is>
      </c>
      <c r="B63" s="6" t="inlineStr">
        <is>
          <t>8.8781698585</t>
        </is>
      </c>
      <c r="C63" s="6" t="inlineStr">
        <is>
          <t>8.1359041454</t>
        </is>
      </c>
      <c r="D63" s="6" t="inlineStr">
        <is>
          <t>7.9526963823298</t>
        </is>
      </c>
      <c r="E63" s="6" t="inlineStr">
        <is>
          <t>8.8781698585</t>
        </is>
      </c>
      <c r="F63" s="6" t="inlineStr">
        <is>
          <t>8.8781698585</t>
        </is>
      </c>
    </row>
    <row r="64">
      <c r="A64" s="15" t="inlineStr">
        <is>
          <t>actddcost</t>
        </is>
      </c>
      <c r="B64" s="16" t="inlineStr">
        <is>
          <t>—</t>
        </is>
      </c>
      <c r="C64" s="16" t="inlineStr">
        <is>
          <t>744.758076923077</t>
        </is>
      </c>
      <c r="D64" s="16" t="inlineStr">
        <is>
          <t>—</t>
        </is>
      </c>
      <c r="E64" s="16" t="inlineStr">
        <is>
          <t>—</t>
        </is>
      </c>
      <c r="F64" s="16" t="inlineStr">
        <is>
          <t>—</t>
        </is>
      </c>
    </row>
    <row r="65">
      <c r="A65" s="15" t="inlineStr">
        <is>
          <t>trust</t>
        </is>
      </c>
      <c r="B65" s="6" t="inlineStr">
        <is>
          <t>Trestle</t>
        </is>
      </c>
      <c r="C65" s="6" t="inlineStr">
        <is>
          <t>Trestle</t>
        </is>
      </c>
      <c r="D65" s="6" t="inlineStr">
        <is>
          <t>Trestle</t>
        </is>
      </c>
      <c r="E65" s="6" t="inlineStr">
        <is>
          <t>Trestle</t>
        </is>
      </c>
      <c r="F65" s="6" t="inlineStr">
        <is>
          <t>Trestle</t>
        </is>
      </c>
    </row>
    <row r="66">
      <c r="A66" s="15" t="inlineStr">
        <is>
          <t>semiannual</t>
        </is>
      </c>
      <c r="B66" s="16" t="inlineStr">
        <is>
          <t>first_semi_annual</t>
        </is>
      </c>
      <c r="C66" s="16" t="inlineStr">
        <is>
          <t>second_semi_annual</t>
        </is>
      </c>
      <c r="D66" s="16" t="inlineStr">
        <is>
          <t>third_semi_annual</t>
        </is>
      </c>
      <c r="E66" s="16" t="inlineStr">
        <is>
          <t>first_semi_annual</t>
        </is>
      </c>
      <c r="F66" s="16" t="inlineStr">
        <is>
          <t>first_semi_annual</t>
        </is>
      </c>
    </row>
    <row r="67">
      <c r="A67" s="15" t="inlineStr">
        <is>
          <t>servicing_retained</t>
        </is>
      </c>
      <c r="B67" s="6" t="inlineStr">
        <is>
          <t>N</t>
        </is>
      </c>
      <c r="C67" s="6" t="inlineStr">
        <is>
          <t>N</t>
        </is>
      </c>
      <c r="D67" s="6" t="inlineStr">
        <is>
          <t>N</t>
        </is>
      </c>
      <c r="E67" s="6" t="inlineStr">
        <is>
          <t>N</t>
        </is>
      </c>
      <c r="F67" s="6" t="inlineStr">
        <is>
          <t>N</t>
        </is>
      </c>
    </row>
    <row r="68">
      <c r="A68" s="15" t="inlineStr">
        <is>
          <t>net_mv_to_seller_internal</t>
        </is>
      </c>
      <c r="B68" s="16" t="inlineStr">
        <is>
          <t>269070.111378633</t>
        </is>
      </c>
      <c r="C68" s="16" t="inlineStr">
        <is>
          <t>428288.928719373</t>
        </is>
      </c>
      <c r="D68" s="16" t="inlineStr">
        <is>
          <t>373452.126077623</t>
        </is>
      </c>
      <c r="E68" s="16" t="inlineStr">
        <is>
          <t>358178.864091756</t>
        </is>
      </c>
      <c r="F68" s="16" t="inlineStr">
        <is>
          <t>198676.951540471</t>
        </is>
      </c>
    </row>
    <row r="69">
      <c r="A69" s="15" t="inlineStr">
        <is>
          <t>sourcingfee_internal</t>
        </is>
      </c>
      <c r="B69" s="6" t="inlineStr">
        <is>
          <t>678.811908006076</t>
        </is>
      </c>
      <c r="C69" s="6" t="inlineStr">
        <is>
          <t>1085.09972903903</t>
        </is>
      </c>
      <c r="D69" s="6" t="inlineStr">
        <is>
          <t>933.741392677152</t>
        </is>
      </c>
      <c r="E69" s="6" t="inlineStr">
        <is>
          <t>901.997861086816</t>
        </is>
      </c>
      <c r="F69" s="6" t="inlineStr">
        <is>
          <t>500.917058071928</t>
        </is>
      </c>
    </row>
    <row r="70">
      <c r="A70" s="15" t="inlineStr">
        <is>
          <t>managementfee_internal</t>
        </is>
      </c>
      <c r="B70" s="16" t="inlineStr">
        <is>
          <t>85.0623868754281</t>
        </is>
      </c>
      <c r="C70" s="16" t="inlineStr">
        <is>
          <t>135.974593051944</t>
        </is>
      </c>
      <c r="D70" s="16" t="inlineStr">
        <is>
          <t>117.007775863581</t>
        </is>
      </c>
      <c r="E70" s="16" t="inlineStr">
        <is>
          <t>113.029972096318</t>
        </is>
      </c>
      <c r="F70" s="16" t="inlineStr">
        <is>
          <t>62.7702609274707</t>
        </is>
      </c>
    </row>
    <row r="71">
      <c r="A71" s="15" t="inlineStr">
        <is>
          <t>pool</t>
        </is>
      </c>
      <c r="B71" s="6" t="inlineStr">
        <is>
          <t>A</t>
        </is>
      </c>
      <c r="C71" s="6" t="inlineStr">
        <is>
          <t>A</t>
        </is>
      </c>
      <c r="D71" s="6" t="inlineStr">
        <is>
          <t>A</t>
        </is>
      </c>
      <c r="E71" s="6" t="inlineStr">
        <is>
          <t>A</t>
        </is>
      </c>
      <c r="F71" s="6" t="inlineStr">
        <is>
          <t>A</t>
        </is>
      </c>
    </row>
  </sheetData>
  <mergeCells count="13">
    <mergeCell ref="A2:F2"/>
    <mergeCell ref="A11:F11"/>
    <mergeCell ref="A10:F10"/>
    <mergeCell ref="A13:F13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 ht="20" customHeight="1">
      <c r="A1" s="7" t="inlineStr">
        <is>
          <t>port.basic_data_loan_foreclosure_hold — Redshift Hold 历史（sync_loan_foreclosure_hold 上游）</t>
        </is>
      </c>
    </row>
    <row r="2">
      <c r="A2" s="13" t="inlineStr">
        <is>
          <t>全 17 字段 · 多行/贷款（全历史） · 共 21 行 · 各贷款行数：{'7727000065': 4, '7727000088': 9, '7727000672': 2, '7727004200': 6} · prod 实测 2026-06-04</t>
        </is>
      </c>
    </row>
    <row r="3" ht="56" customHeight="1">
      <c r="A3" s="14" t="inlineStr">
        <is>
          <t>查询 SQL（prod 只读）：
-- port.basic_data_loan_foreclosure_hold · redshift_prod(只读) · 多行/贷款（全历史） · 业务日 2026-06-01
SELECT * FROM port.basic_data_loan_foreclosure_hold WHERE loanid IN ('7727000088','7727000672','7727004200','7727000065','7727000010') ORDER BY loanid, fctrdt;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75" customHeight="1">
      <c r="A5" s="36" t="inlineStr">
        <is>
          <t>业务含义/目的：Redshift Hold 历史(长表，1 行/Hold)——把源表 4 个 Hold 槽(fchold1..4)拆成长格式；Carrington 多 Hold 先排名压进 4 槽。 bpms.sync_loan_foreclosure_hold(BPS Hold 全历史)的上游；支撑‘一笔法拍多个 Hold’。</t>
        </is>
      </c>
    </row>
    <row r="6" ht="18" customHeight="1">
      <c r="A6" s="36" t="inlineStr">
        <is>
          <t>何时来查：查某贷款全部 Hold 的起止/原因/历史。</t>
        </is>
      </c>
    </row>
    <row r="7" ht="45" customHeight="1">
      <c r="A7" s="36" t="inlineStr">
        <is>
          <t>为什么这样处理：源表把 Hold 压成 4 个宽槽，业务要全历史，需拆槽(unpivot)成 1 行/Hold；一笔 FCL 多 Hold 是常态(非数据错误)。</t>
        </is>
      </c>
    </row>
    <row r="8" ht="18" customHeight="1">
      <c r="A8" s="36" t="inlineStr">
        <is>
          <t>数据粒度：1 行/贷款/Hold 段。</t>
        </is>
      </c>
    </row>
    <row r="9" ht="75" customHeight="1">
      <c r="A9" s="36" t="inlineStr">
        <is>
          <t>上游链路：newrez.portnewrezfc(fchold1..4) → port.basic_data_loan_fcl → port.basic_data_loan_foreclosure_hold〔拆槽 basic_data_pool_config.py:466-768；Carrington 排名 :504-629〕</t>
        </is>
      </c>
    </row>
    <row r="10" ht="30" customHeight="1">
      <c r="A10" s="36" t="inlineStr">
        <is>
          <t>全部上游表：newrez.portnewrezfc、port.basic_data_loan_fcl</t>
        </is>
      </c>
    </row>
    <row r="11" ht="45" customHeight="1">
      <c r="A11" s="36" t="inlineStr">
        <is>
          <t>下游链路：→ bpms.sync_loan_foreclosure_hold〔GEN_FORECLOSURE_HOLD asset_managment_config.py:847-894〕 → 视图 → BPS Hold 面板</t>
        </is>
      </c>
    </row>
    <row r="12" ht="45" customHeight="1">
      <c r="A12" s="36" t="inlineStr">
        <is>
          <t>全部下游表：bpms.sync_loan_foreclosure_hold、bpms.biz_data_view_loan_details_foreclosure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8" t="inlineStr">
        <is>
          <t>dataasof</t>
        </is>
      </c>
      <c r="B14" s="8" t="inlineStr">
        <is>
          <t>servicer</t>
        </is>
      </c>
      <c r="C14" s="8" t="inlineStr">
        <is>
          <t>loanid</t>
        </is>
      </c>
      <c r="D14" s="8" t="inlineStr">
        <is>
          <t>svcloanid</t>
        </is>
      </c>
      <c r="E14" s="8" t="inlineStr">
        <is>
          <t>fctrdt</t>
        </is>
      </c>
      <c r="F14" s="8" t="inlineStr">
        <is>
          <t>description1</t>
        </is>
      </c>
      <c r="G14" s="8" t="inlineStr">
        <is>
          <t>description1_start_date</t>
        </is>
      </c>
      <c r="H14" s="8" t="inlineStr">
        <is>
          <t>description1_end_date</t>
        </is>
      </c>
      <c r="I14" s="8" t="inlineStr">
        <is>
          <t>description2</t>
        </is>
      </c>
      <c r="J14" s="8" t="inlineStr">
        <is>
          <t>description2_start_date</t>
        </is>
      </c>
      <c r="K14" s="8" t="inlineStr">
        <is>
          <t>description2_end_date</t>
        </is>
      </c>
      <c r="L14" s="8" t="inlineStr">
        <is>
          <t>description3</t>
        </is>
      </c>
      <c r="M14" s="8" t="inlineStr">
        <is>
          <t>description3_start_date</t>
        </is>
      </c>
      <c r="N14" s="8" t="inlineStr">
        <is>
          <t>description3_end_date</t>
        </is>
      </c>
      <c r="O14" s="8" t="inlineStr">
        <is>
          <t>description4</t>
        </is>
      </c>
      <c r="P14" s="8" t="inlineStr">
        <is>
          <t>description4_start_date</t>
        </is>
      </c>
      <c r="Q14" s="8" t="inlineStr">
        <is>
          <t>description4_end_date</t>
        </is>
      </c>
    </row>
    <row r="15">
      <c r="A15" s="6" t="inlineStr">
        <is>
          <t>2025-05-05</t>
        </is>
      </c>
      <c r="B15" s="6" t="inlineStr">
        <is>
          <t>Newrez</t>
        </is>
      </c>
      <c r="C15" s="6" t="inlineStr">
        <is>
          <t>7727000065</t>
        </is>
      </c>
      <c r="D15" s="6" t="inlineStr">
        <is>
          <t>1031718621</t>
        </is>
      </c>
      <c r="E15" s="6" t="inlineStr">
        <is>
          <t>2025-05-05</t>
        </is>
      </c>
      <c r="F15" s="6" t="inlineStr">
        <is>
          <t>Original Note</t>
        </is>
      </c>
      <c r="G15" s="6" t="inlineStr">
        <is>
          <t>2025-02-06</t>
        </is>
      </c>
      <c r="H15" s="6" t="inlineStr">
        <is>
          <t>2025-03-10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6" t="inlineStr">
        <is>
          <t>—</t>
        </is>
      </c>
    </row>
    <row r="16">
      <c r="A16" s="16" t="inlineStr">
        <is>
          <t>2025-07-02</t>
        </is>
      </c>
      <c r="B16" s="16" t="inlineStr">
        <is>
          <t>Newrez</t>
        </is>
      </c>
      <c r="C16" s="16" t="inlineStr">
        <is>
          <t>7727000065</t>
        </is>
      </c>
      <c r="D16" s="16" t="inlineStr">
        <is>
          <t>1031718621</t>
        </is>
      </c>
      <c r="E16" s="16" t="inlineStr">
        <is>
          <t>2025-07-02</t>
        </is>
      </c>
      <c r="F16" s="16" t="inlineStr">
        <is>
          <t>Bankruptcy Filed</t>
        </is>
      </c>
      <c r="G16" s="16" t="inlineStr">
        <is>
          <t>2025-05-06</t>
        </is>
      </c>
      <c r="H16" s="16" t="inlineStr">
        <is>
          <t>2025-06-27</t>
        </is>
      </c>
      <c r="I16" s="16" t="inlineStr">
        <is>
          <t>Original Note</t>
        </is>
      </c>
      <c r="J16" s="16" t="inlineStr">
        <is>
          <t>2025-02-06</t>
        </is>
      </c>
      <c r="K16" s="16" t="inlineStr">
        <is>
          <t>2025-03-10</t>
        </is>
      </c>
      <c r="L16" s="16" t="inlineStr">
        <is>
          <t>—</t>
        </is>
      </c>
      <c r="M16" s="16" t="inlineStr">
        <is>
          <t>—</t>
        </is>
      </c>
      <c r="N16" s="16" t="inlineStr">
        <is>
          <t>—</t>
        </is>
      </c>
      <c r="O16" s="16" t="inlineStr">
        <is>
          <t>—</t>
        </is>
      </c>
      <c r="P16" s="16" t="inlineStr">
        <is>
          <t>—</t>
        </is>
      </c>
      <c r="Q16" s="16" t="inlineStr">
        <is>
          <t>—</t>
        </is>
      </c>
    </row>
    <row r="17">
      <c r="A17" s="6" t="inlineStr">
        <is>
          <t>2025-08-26</t>
        </is>
      </c>
      <c r="B17" s="6" t="inlineStr">
        <is>
          <t>Newrez</t>
        </is>
      </c>
      <c r="C17" s="6" t="inlineStr">
        <is>
          <t>7727000065</t>
        </is>
      </c>
      <c r="D17" s="6" t="inlineStr">
        <is>
          <t>1031718621</t>
        </is>
      </c>
      <c r="E17" s="6" t="inlineStr">
        <is>
          <t>2025-08-26</t>
        </is>
      </c>
      <c r="F17" s="6" t="inlineStr">
        <is>
          <t>Court Delay</t>
        </is>
      </c>
      <c r="G17" s="6" t="inlineStr">
        <is>
          <t>2025-07-02</t>
        </is>
      </c>
      <c r="H17" s="6" t="inlineStr">
        <is>
          <t>2025-07-14</t>
        </is>
      </c>
      <c r="I17" s="6" t="inlineStr">
        <is>
          <t>Bankruptcy Filed</t>
        </is>
      </c>
      <c r="J17" s="6" t="inlineStr">
        <is>
          <t>2025-05-06</t>
        </is>
      </c>
      <c r="K17" s="6" t="inlineStr">
        <is>
          <t>2025-06-27</t>
        </is>
      </c>
      <c r="L17" s="6" t="inlineStr">
        <is>
          <t>Original Note</t>
        </is>
      </c>
      <c r="M17" s="6" t="inlineStr">
        <is>
          <t>2025-02-06</t>
        </is>
      </c>
      <c r="N17" s="6" t="inlineStr">
        <is>
          <t>2025-03-10</t>
        </is>
      </c>
      <c r="O17" s="6" t="inlineStr">
        <is>
          <t>—</t>
        </is>
      </c>
      <c r="P17" s="6" t="inlineStr">
        <is>
          <t>—</t>
        </is>
      </c>
      <c r="Q17" s="6" t="inlineStr">
        <is>
          <t>—</t>
        </is>
      </c>
    </row>
    <row r="18">
      <c r="A18" s="16" t="inlineStr">
        <is>
          <t>2026-06-04</t>
        </is>
      </c>
      <c r="B18" s="16" t="inlineStr">
        <is>
          <t>Newrez</t>
        </is>
      </c>
      <c r="C18" s="16" t="inlineStr">
        <is>
          <t>7727000065</t>
        </is>
      </c>
      <c r="D18" s="16" t="inlineStr">
        <is>
          <t>1031718621</t>
        </is>
      </c>
      <c r="E18" s="16" t="inlineStr">
        <is>
          <t>2026-06-04</t>
        </is>
      </c>
      <c r="F18" s="16" t="inlineStr">
        <is>
          <t>Court Delay</t>
        </is>
      </c>
      <c r="G18" s="16" t="inlineStr">
        <is>
          <t>2025-08-26</t>
        </is>
      </c>
      <c r="H18" s="16" t="inlineStr">
        <is>
          <t>2025-08-28</t>
        </is>
      </c>
      <c r="I18" s="16" t="inlineStr">
        <is>
          <t>Court Delay</t>
        </is>
      </c>
      <c r="J18" s="16" t="inlineStr">
        <is>
          <t>2025-07-02</t>
        </is>
      </c>
      <c r="K18" s="16" t="inlineStr">
        <is>
          <t>2025-07-14</t>
        </is>
      </c>
      <c r="L18" s="16" t="inlineStr">
        <is>
          <t>Bankruptcy Filed</t>
        </is>
      </c>
      <c r="M18" s="16" t="inlineStr">
        <is>
          <t>2025-05-06</t>
        </is>
      </c>
      <c r="N18" s="16" t="inlineStr">
        <is>
          <t>2025-06-27</t>
        </is>
      </c>
      <c r="O18" s="16" t="inlineStr">
        <is>
          <t>—</t>
        </is>
      </c>
      <c r="P18" s="16" t="inlineStr">
        <is>
          <t>—</t>
        </is>
      </c>
      <c r="Q18" s="16" t="inlineStr">
        <is>
          <t>—</t>
        </is>
      </c>
    </row>
    <row r="19">
      <c r="A19" s="6" t="inlineStr">
        <is>
          <t>2025-07-15</t>
        </is>
      </c>
      <c r="B19" s="6" t="inlineStr">
        <is>
          <t>Newrez</t>
        </is>
      </c>
      <c r="C19" s="6" t="inlineStr">
        <is>
          <t>7727000088</t>
        </is>
      </c>
      <c r="D19" s="6" t="inlineStr">
        <is>
          <t>1031718838</t>
        </is>
      </c>
      <c r="E19" s="6" t="inlineStr">
        <is>
          <t>2025-07-15</t>
        </is>
      </c>
      <c r="F19" s="6" t="inlineStr">
        <is>
          <t>Original Note</t>
        </is>
      </c>
      <c r="G19" s="6" t="inlineStr">
        <is>
          <t>2025-05-28</t>
        </is>
      </c>
      <c r="H19" s="6" t="inlineStr">
        <is>
          <t>2025-06-11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6" t="inlineStr">
        <is>
          <t>—</t>
        </is>
      </c>
    </row>
    <row r="20">
      <c r="A20" s="16" t="inlineStr">
        <is>
          <t>2025-07-30</t>
        </is>
      </c>
      <c r="B20" s="16" t="inlineStr">
        <is>
          <t>Newrez</t>
        </is>
      </c>
      <c r="C20" s="16" t="inlineStr">
        <is>
          <t>7727000088</t>
        </is>
      </c>
      <c r="D20" s="16" t="inlineStr">
        <is>
          <t>1031718838</t>
        </is>
      </c>
      <c r="E20" s="16" t="inlineStr">
        <is>
          <t>2025-07-30</t>
        </is>
      </c>
      <c r="F20" s="16" t="inlineStr">
        <is>
          <t>Service Delay</t>
        </is>
      </c>
      <c r="G20" s="16" t="inlineStr">
        <is>
          <t>2025-07-15</t>
        </is>
      </c>
      <c r="H20" s="16" t="inlineStr">
        <is>
          <t>—</t>
        </is>
      </c>
      <c r="I20" s="16" t="inlineStr">
        <is>
          <t>Original Note</t>
        </is>
      </c>
      <c r="J20" s="16" t="inlineStr">
        <is>
          <t>2025-05-28</t>
        </is>
      </c>
      <c r="K20" s="16" t="inlineStr">
        <is>
          <t>2025-06-11</t>
        </is>
      </c>
      <c r="L20" s="16" t="inlineStr">
        <is>
          <t>—</t>
        </is>
      </c>
      <c r="M20" s="16" t="inlineStr">
        <is>
          <t>—</t>
        </is>
      </c>
      <c r="N20" s="16" t="inlineStr">
        <is>
          <t>—</t>
        </is>
      </c>
      <c r="O20" s="16" t="inlineStr">
        <is>
          <t>—</t>
        </is>
      </c>
      <c r="P20" s="16" t="inlineStr">
        <is>
          <t>—</t>
        </is>
      </c>
      <c r="Q20" s="16" t="inlineStr">
        <is>
          <t>—</t>
        </is>
      </c>
    </row>
    <row r="21">
      <c r="A21" s="6" t="inlineStr">
        <is>
          <t>2025-08-12</t>
        </is>
      </c>
      <c r="B21" s="6" t="inlineStr">
        <is>
          <t>Newrez</t>
        </is>
      </c>
      <c r="C21" s="6" t="inlineStr">
        <is>
          <t>7727000088</t>
        </is>
      </c>
      <c r="D21" s="6" t="inlineStr">
        <is>
          <t>1031718838</t>
        </is>
      </c>
      <c r="E21" s="6" t="inlineStr">
        <is>
          <t>2025-08-12</t>
        </is>
      </c>
      <c r="F21" s="6" t="inlineStr">
        <is>
          <t>Loss Mitigation Workout</t>
        </is>
      </c>
      <c r="G21" s="6" t="inlineStr">
        <is>
          <t>2025-07-31</t>
        </is>
      </c>
      <c r="H21" s="6" t="inlineStr">
        <is>
          <t>2025-08-01</t>
        </is>
      </c>
      <c r="I21" s="6" t="inlineStr">
        <is>
          <t>Service Delay</t>
        </is>
      </c>
      <c r="J21" s="6" t="inlineStr">
        <is>
          <t>2025-07-15</t>
        </is>
      </c>
      <c r="K21" s="6" t="inlineStr">
        <is>
          <t>2025-07-31</t>
        </is>
      </c>
      <c r="L21" s="6" t="inlineStr">
        <is>
          <t>Original Note</t>
        </is>
      </c>
      <c r="M21" s="6" t="inlineStr">
        <is>
          <t>2025-05-28</t>
        </is>
      </c>
      <c r="N21" s="6" t="inlineStr">
        <is>
          <t>2025-06-11</t>
        </is>
      </c>
      <c r="O21" s="6" t="inlineStr">
        <is>
          <t>—</t>
        </is>
      </c>
      <c r="P21" s="6" t="inlineStr">
        <is>
          <t>—</t>
        </is>
      </c>
      <c r="Q21" s="6" t="inlineStr">
        <is>
          <t>—</t>
        </is>
      </c>
    </row>
    <row r="22">
      <c r="A22" s="16" t="inlineStr">
        <is>
          <t>2025-10-21</t>
        </is>
      </c>
      <c r="B22" s="16" t="inlineStr">
        <is>
          <t>Newrez</t>
        </is>
      </c>
      <c r="C22" s="16" t="inlineStr">
        <is>
          <t>7727000088</t>
        </is>
      </c>
      <c r="D22" s="16" t="inlineStr">
        <is>
          <t>1031718838</t>
        </is>
      </c>
      <c r="E22" s="16" t="inlineStr">
        <is>
          <t>2025-10-21</t>
        </is>
      </c>
      <c r="F22" s="16" t="inlineStr">
        <is>
          <t>Loss Mitigation Workout</t>
        </is>
      </c>
      <c r="G22" s="16" t="inlineStr">
        <is>
          <t>2025-08-13</t>
        </is>
      </c>
      <c r="H22" s="16" t="inlineStr">
        <is>
          <t>2025-10-21</t>
        </is>
      </c>
      <c r="I22" s="16" t="inlineStr">
        <is>
          <t>Loss Mitigation Workout</t>
        </is>
      </c>
      <c r="J22" s="16" t="inlineStr">
        <is>
          <t>2025-07-31</t>
        </is>
      </c>
      <c r="K22" s="16" t="inlineStr">
        <is>
          <t>2025-08-01</t>
        </is>
      </c>
      <c r="L22" s="16" t="inlineStr">
        <is>
          <t>Service Delay</t>
        </is>
      </c>
      <c r="M22" s="16" t="inlineStr">
        <is>
          <t>2025-07-15</t>
        </is>
      </c>
      <c r="N22" s="16" t="inlineStr">
        <is>
          <t>2025-07-31</t>
        </is>
      </c>
      <c r="O22" s="16" t="inlineStr">
        <is>
          <t>—</t>
        </is>
      </c>
      <c r="P22" s="16" t="inlineStr">
        <is>
          <t>—</t>
        </is>
      </c>
      <c r="Q22" s="16" t="inlineStr">
        <is>
          <t>—</t>
        </is>
      </c>
    </row>
    <row r="23">
      <c r="A23" s="6" t="inlineStr">
        <is>
          <t>2026-01-18</t>
        </is>
      </c>
      <c r="B23" s="6" t="inlineStr">
        <is>
          <t>Newrez</t>
        </is>
      </c>
      <c r="C23" s="6" t="inlineStr">
        <is>
          <t>7727000088</t>
        </is>
      </c>
      <c r="D23" s="6" t="inlineStr">
        <is>
          <t>1031718838</t>
        </is>
      </c>
      <c r="E23" s="6" t="inlineStr">
        <is>
          <t>2026-01-18</t>
        </is>
      </c>
      <c r="F23" s="6" t="inlineStr">
        <is>
          <t>Court Delay</t>
        </is>
      </c>
      <c r="G23" s="6" t="inlineStr">
        <is>
          <t>2025-10-21</t>
        </is>
      </c>
      <c r="H23" s="6" t="inlineStr">
        <is>
          <t>2025-12-16</t>
        </is>
      </c>
      <c r="I23" s="6" t="inlineStr">
        <is>
          <t>Loss Mitigation Workout</t>
        </is>
      </c>
      <c r="J23" s="6" t="inlineStr">
        <is>
          <t>2025-08-13</t>
        </is>
      </c>
      <c r="K23" s="6" t="inlineStr">
        <is>
          <t>2025-10-21</t>
        </is>
      </c>
      <c r="L23" s="6" t="inlineStr">
        <is>
          <t>Loss Mitigation Workout</t>
        </is>
      </c>
      <c r="M23" s="6" t="inlineStr">
        <is>
          <t>2025-07-31</t>
        </is>
      </c>
      <c r="N23" s="6" t="inlineStr">
        <is>
          <t>2025-08-01</t>
        </is>
      </c>
      <c r="O23" s="6" t="inlineStr">
        <is>
          <t>—</t>
        </is>
      </c>
      <c r="P23" s="6" t="inlineStr">
        <is>
          <t>—</t>
        </is>
      </c>
      <c r="Q23" s="6" t="inlineStr">
        <is>
          <t>—</t>
        </is>
      </c>
    </row>
    <row r="24">
      <c r="A24" s="16" t="inlineStr">
        <is>
          <t>2026-02-23</t>
        </is>
      </c>
      <c r="B24" s="16" t="inlineStr">
        <is>
          <t>Newrez</t>
        </is>
      </c>
      <c r="C24" s="16" t="inlineStr">
        <is>
          <t>7727000088</t>
        </is>
      </c>
      <c r="D24" s="16" t="inlineStr">
        <is>
          <t>1031718838</t>
        </is>
      </c>
      <c r="E24" s="16" t="inlineStr">
        <is>
          <t>2026-02-23</t>
        </is>
      </c>
      <c r="F24" s="16" t="inlineStr">
        <is>
          <t>Loss Mitigation Workout</t>
        </is>
      </c>
      <c r="G24" s="16" t="inlineStr">
        <is>
          <t>2026-02-20</t>
        </is>
      </c>
      <c r="H24" s="16" t="inlineStr">
        <is>
          <t>—</t>
        </is>
      </c>
      <c r="I24" s="16" t="inlineStr">
        <is>
          <t>Court Delay</t>
        </is>
      </c>
      <c r="J24" s="16" t="inlineStr">
        <is>
          <t>2026-01-16</t>
        </is>
      </c>
      <c r="K24" s="16" t="inlineStr">
        <is>
          <t>—</t>
        </is>
      </c>
      <c r="L24" s="16" t="inlineStr">
        <is>
          <t>Court Delay</t>
        </is>
      </c>
      <c r="M24" s="16" t="inlineStr">
        <is>
          <t>2025-10-21</t>
        </is>
      </c>
      <c r="N24" s="16" t="inlineStr">
        <is>
          <t>2025-12-16</t>
        </is>
      </c>
      <c r="O24" s="16" t="inlineStr">
        <is>
          <t>—</t>
        </is>
      </c>
      <c r="P24" s="16" t="inlineStr">
        <is>
          <t>—</t>
        </is>
      </c>
      <c r="Q24" s="16" t="inlineStr">
        <is>
          <t>—</t>
        </is>
      </c>
    </row>
    <row r="25">
      <c r="A25" s="6" t="inlineStr">
        <is>
          <t>2026-03-16</t>
        </is>
      </c>
      <c r="B25" s="6" t="inlineStr">
        <is>
          <t>Newrez</t>
        </is>
      </c>
      <c r="C25" s="6" t="inlineStr">
        <is>
          <t>7727000088</t>
        </is>
      </c>
      <c r="D25" s="6" t="inlineStr">
        <is>
          <t>1031718838</t>
        </is>
      </c>
      <c r="E25" s="6" t="inlineStr">
        <is>
          <t>2026-03-16</t>
        </is>
      </c>
      <c r="F25" s="6" t="inlineStr">
        <is>
          <t>Court Delay</t>
        </is>
      </c>
      <c r="G25" s="6" t="inlineStr">
        <is>
          <t>2026-01-16</t>
        </is>
      </c>
      <c r="H25" s="6" t="inlineStr">
        <is>
          <t>—</t>
        </is>
      </c>
      <c r="I25" s="6" t="inlineStr">
        <is>
          <t>Loss Mitigation Workout</t>
        </is>
      </c>
      <c r="J25" s="6" t="inlineStr">
        <is>
          <t>2026-02-20</t>
        </is>
      </c>
      <c r="K25" s="6" t="inlineStr">
        <is>
          <t>2026-02-24</t>
        </is>
      </c>
      <c r="L25" s="6" t="inlineStr">
        <is>
          <t>Court Delay</t>
        </is>
      </c>
      <c r="M25" s="6" t="inlineStr">
        <is>
          <t>2025-10-21</t>
        </is>
      </c>
      <c r="N25" s="6" t="inlineStr">
        <is>
          <t>2025-12-16</t>
        </is>
      </c>
      <c r="O25" s="6" t="inlineStr">
        <is>
          <t>—</t>
        </is>
      </c>
      <c r="P25" s="6" t="inlineStr">
        <is>
          <t>—</t>
        </is>
      </c>
      <c r="Q25" s="6" t="inlineStr">
        <is>
          <t>—</t>
        </is>
      </c>
    </row>
    <row r="26">
      <c r="A26" s="16" t="inlineStr">
        <is>
          <t>2026-04-09</t>
        </is>
      </c>
      <c r="B26" s="16" t="inlineStr">
        <is>
          <t>Newrez</t>
        </is>
      </c>
      <c r="C26" s="16" t="inlineStr">
        <is>
          <t>7727000088</t>
        </is>
      </c>
      <c r="D26" s="16" t="inlineStr">
        <is>
          <t>1031718838</t>
        </is>
      </c>
      <c r="E26" s="16" t="inlineStr">
        <is>
          <t>2026-04-09</t>
        </is>
      </c>
      <c r="F26" s="16" t="inlineStr">
        <is>
          <t>Hearing Set</t>
        </is>
      </c>
      <c r="G26" s="16" t="inlineStr">
        <is>
          <t>2026-03-16</t>
        </is>
      </c>
      <c r="H26" s="16" t="inlineStr">
        <is>
          <t>2026-04-07</t>
        </is>
      </c>
      <c r="I26" s="16" t="inlineStr">
        <is>
          <t>Court Delay</t>
        </is>
      </c>
      <c r="J26" s="16" t="inlineStr">
        <is>
          <t>2026-01-16</t>
        </is>
      </c>
      <c r="K26" s="16" t="inlineStr">
        <is>
          <t>2026-03-16</t>
        </is>
      </c>
      <c r="L26" s="16" t="inlineStr">
        <is>
          <t>Loss Mitigation Workout</t>
        </is>
      </c>
      <c r="M26" s="16" t="inlineStr">
        <is>
          <t>2026-02-20</t>
        </is>
      </c>
      <c r="N26" s="16" t="inlineStr">
        <is>
          <t>2026-02-24</t>
        </is>
      </c>
      <c r="O26" s="16" t="inlineStr">
        <is>
          <t>—</t>
        </is>
      </c>
      <c r="P26" s="16" t="inlineStr">
        <is>
          <t>—</t>
        </is>
      </c>
      <c r="Q26" s="16" t="inlineStr">
        <is>
          <t>—</t>
        </is>
      </c>
    </row>
    <row r="27">
      <c r="A27" s="6" t="inlineStr">
        <is>
          <t>2026-06-04</t>
        </is>
      </c>
      <c r="B27" s="6" t="inlineStr">
        <is>
          <t>Newrez</t>
        </is>
      </c>
      <c r="C27" s="6" t="inlineStr">
        <is>
          <t>7727000088</t>
        </is>
      </c>
      <c r="D27" s="6" t="inlineStr">
        <is>
          <t>1031718838</t>
        </is>
      </c>
      <c r="E27" s="6" t="inlineStr">
        <is>
          <t>2026-06-04</t>
        </is>
      </c>
      <c r="F27" s="6" t="inlineStr">
        <is>
          <t>Court Delay</t>
        </is>
      </c>
      <c r="G27" s="6" t="inlineStr">
        <is>
          <t>2026-04-09</t>
        </is>
      </c>
      <c r="H27" s="6" t="inlineStr">
        <is>
          <t>2026-04-26</t>
        </is>
      </c>
      <c r="I27" s="6" t="inlineStr">
        <is>
          <t>Hearing Set</t>
        </is>
      </c>
      <c r="J27" s="6" t="inlineStr">
        <is>
          <t>2026-03-16</t>
        </is>
      </c>
      <c r="K27" s="6" t="inlineStr">
        <is>
          <t>2026-04-07</t>
        </is>
      </c>
      <c r="L27" s="6" t="inlineStr">
        <is>
          <t>Court Delay</t>
        </is>
      </c>
      <c r="M27" s="6" t="inlineStr">
        <is>
          <t>2026-01-16</t>
        </is>
      </c>
      <c r="N27" s="6" t="inlineStr">
        <is>
          <t>2026-03-16</t>
        </is>
      </c>
      <c r="O27" s="6" t="inlineStr">
        <is>
          <t>—</t>
        </is>
      </c>
      <c r="P27" s="6" t="inlineStr">
        <is>
          <t>—</t>
        </is>
      </c>
      <c r="Q27" s="6" t="inlineStr">
        <is>
          <t>—</t>
        </is>
      </c>
    </row>
    <row r="28">
      <c r="A28" s="16" t="inlineStr">
        <is>
          <t>2026-05-11</t>
        </is>
      </c>
      <c r="B28" s="16" t="inlineStr">
        <is>
          <t>Newrez</t>
        </is>
      </c>
      <c r="C28" s="16" t="inlineStr">
        <is>
          <t>7727000672</t>
        </is>
      </c>
      <c r="D28" s="16" t="inlineStr">
        <is>
          <t>1032761570</t>
        </is>
      </c>
      <c r="E28" s="16" t="inlineStr">
        <is>
          <t>2026-05-11</t>
        </is>
      </c>
      <c r="F28" s="16" t="inlineStr">
        <is>
          <t>Loss Mitigation Workout</t>
        </is>
      </c>
      <c r="G28" s="16" t="inlineStr">
        <is>
          <t>2026-03-25</t>
        </is>
      </c>
      <c r="H28" s="16" t="inlineStr">
        <is>
          <t>—</t>
        </is>
      </c>
      <c r="I28" s="16" t="inlineStr">
        <is>
          <t>—</t>
        </is>
      </c>
      <c r="J28" s="16" t="inlineStr">
        <is>
          <t>—</t>
        </is>
      </c>
      <c r="K28" s="16" t="inlineStr">
        <is>
          <t>—</t>
        </is>
      </c>
      <c r="L28" s="16" t="inlineStr">
        <is>
          <t>—</t>
        </is>
      </c>
      <c r="M28" s="16" t="inlineStr">
        <is>
          <t>—</t>
        </is>
      </c>
      <c r="N28" s="16" t="inlineStr">
        <is>
          <t>—</t>
        </is>
      </c>
      <c r="O28" s="16" t="inlineStr">
        <is>
          <t>—</t>
        </is>
      </c>
      <c r="P28" s="16" t="inlineStr">
        <is>
          <t>—</t>
        </is>
      </c>
      <c r="Q28" s="16" t="inlineStr">
        <is>
          <t>—</t>
        </is>
      </c>
    </row>
    <row r="29">
      <c r="A29" s="6" t="inlineStr">
        <is>
          <t>2026-06-04</t>
        </is>
      </c>
      <c r="B29" s="6" t="inlineStr">
        <is>
          <t>Newrez</t>
        </is>
      </c>
      <c r="C29" s="6" t="inlineStr">
        <is>
          <t>7727000672</t>
        </is>
      </c>
      <c r="D29" s="6" t="inlineStr">
        <is>
          <t>1032761570</t>
        </is>
      </c>
      <c r="E29" s="6" t="inlineStr">
        <is>
          <t>2026-06-04</t>
        </is>
      </c>
      <c r="F29" s="6" t="inlineStr">
        <is>
          <t>Delinquency Review</t>
        </is>
      </c>
      <c r="G29" s="6" t="inlineStr">
        <is>
          <t>2026-05-12</t>
        </is>
      </c>
      <c r="H29" s="6" t="inlineStr">
        <is>
          <t>2026-05-27</t>
        </is>
      </c>
      <c r="I29" s="6" t="inlineStr">
        <is>
          <t>Loss Mitigation Workout</t>
        </is>
      </c>
      <c r="J29" s="6" t="inlineStr">
        <is>
          <t>2026-03-25</t>
        </is>
      </c>
      <c r="K29" s="6" t="inlineStr">
        <is>
          <t>2026-05-27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6" t="inlineStr">
        <is>
          <t>—</t>
        </is>
      </c>
    </row>
    <row r="30">
      <c r="A30" s="16" t="inlineStr">
        <is>
          <t>2025-09-03</t>
        </is>
      </c>
      <c r="B30" s="16" t="inlineStr">
        <is>
          <t>Newrez</t>
        </is>
      </c>
      <c r="C30" s="16" t="inlineStr">
        <is>
          <t>7727004200</t>
        </is>
      </c>
      <c r="D30" s="16" t="inlineStr">
        <is>
          <t>0688132141</t>
        </is>
      </c>
      <c r="E30" s="16" t="inlineStr">
        <is>
          <t>2025-09-03</t>
        </is>
      </c>
      <c r="F30" s="16" t="inlineStr">
        <is>
          <t>Client Document Execution</t>
        </is>
      </c>
      <c r="G30" s="16" t="inlineStr">
        <is>
          <t>2025-07-08</t>
        </is>
      </c>
      <c r="H30" s="16" t="inlineStr">
        <is>
          <t>2025-07-09</t>
        </is>
      </c>
      <c r="I30" s="16" t="inlineStr">
        <is>
          <t>—</t>
        </is>
      </c>
      <c r="J30" s="16" t="inlineStr">
        <is>
          <t>—</t>
        </is>
      </c>
      <c r="K30" s="16" t="inlineStr">
        <is>
          <t>—</t>
        </is>
      </c>
      <c r="L30" s="16" t="inlineStr">
        <is>
          <t>—</t>
        </is>
      </c>
      <c r="M30" s="16" t="inlineStr">
        <is>
          <t>—</t>
        </is>
      </c>
      <c r="N30" s="16" t="inlineStr">
        <is>
          <t>—</t>
        </is>
      </c>
      <c r="O30" s="16" t="inlineStr">
        <is>
          <t>—</t>
        </is>
      </c>
      <c r="P30" s="16" t="inlineStr">
        <is>
          <t>—</t>
        </is>
      </c>
      <c r="Q30" s="16" t="inlineStr">
        <is>
          <t>—</t>
        </is>
      </c>
    </row>
    <row r="31">
      <c r="A31" s="6" t="inlineStr">
        <is>
          <t>2025-11-20</t>
        </is>
      </c>
      <c r="B31" s="6" t="inlineStr">
        <is>
          <t>Newrez</t>
        </is>
      </c>
      <c r="C31" s="6" t="inlineStr">
        <is>
          <t>7727004200</t>
        </is>
      </c>
      <c r="D31" s="6" t="inlineStr">
        <is>
          <t>0688132141</t>
        </is>
      </c>
      <c r="E31" s="6" t="inlineStr">
        <is>
          <t>2025-11-20</t>
        </is>
      </c>
      <c r="F31" s="6" t="inlineStr">
        <is>
          <t>Court Delay</t>
        </is>
      </c>
      <c r="G31" s="6" t="inlineStr">
        <is>
          <t>2025-09-03</t>
        </is>
      </c>
      <c r="H31" s="6" t="inlineStr">
        <is>
          <t>—</t>
        </is>
      </c>
      <c r="I31" s="6" t="inlineStr">
        <is>
          <t>Client Document Execution</t>
        </is>
      </c>
      <c r="J31" s="6" t="inlineStr">
        <is>
          <t>2025-07-08</t>
        </is>
      </c>
      <c r="K31" s="6" t="inlineStr">
        <is>
          <t>2025-07-09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6" t="inlineStr">
        <is>
          <t>—</t>
        </is>
      </c>
    </row>
    <row r="32">
      <c r="A32" s="16" t="inlineStr">
        <is>
          <t>2025-12-30</t>
        </is>
      </c>
      <c r="B32" s="16" t="inlineStr">
        <is>
          <t>Newrez</t>
        </is>
      </c>
      <c r="C32" s="16" t="inlineStr">
        <is>
          <t>7727004200</t>
        </is>
      </c>
      <c r="D32" s="16" t="inlineStr">
        <is>
          <t>0688132141</t>
        </is>
      </c>
      <c r="E32" s="16" t="inlineStr">
        <is>
          <t>2025-12-30</t>
        </is>
      </c>
      <c r="F32" s="16" t="inlineStr">
        <is>
          <t>Hearing Set</t>
        </is>
      </c>
      <c r="G32" s="16" t="inlineStr">
        <is>
          <t>2025-11-21</t>
        </is>
      </c>
      <c r="H32" s="16" t="inlineStr">
        <is>
          <t>2025-12-11</t>
        </is>
      </c>
      <c r="I32" s="16" t="inlineStr">
        <is>
          <t>Court Delay</t>
        </is>
      </c>
      <c r="J32" s="16" t="inlineStr">
        <is>
          <t>2025-09-03</t>
        </is>
      </c>
      <c r="K32" s="16" t="inlineStr">
        <is>
          <t>2025-11-20</t>
        </is>
      </c>
      <c r="L32" s="16" t="inlineStr">
        <is>
          <t>Client Document Execution</t>
        </is>
      </c>
      <c r="M32" s="16" t="inlineStr">
        <is>
          <t>2025-07-08</t>
        </is>
      </c>
      <c r="N32" s="16" t="inlineStr">
        <is>
          <t>2025-07-09</t>
        </is>
      </c>
      <c r="O32" s="16" t="inlineStr">
        <is>
          <t>—</t>
        </is>
      </c>
      <c r="P32" s="16" t="inlineStr">
        <is>
          <t>—</t>
        </is>
      </c>
      <c r="Q32" s="16" t="inlineStr">
        <is>
          <t>—</t>
        </is>
      </c>
    </row>
    <row r="33">
      <c r="A33" s="6" t="inlineStr">
        <is>
          <t>2026-01-28</t>
        </is>
      </c>
      <c r="B33" s="6" t="inlineStr">
        <is>
          <t>Newrez</t>
        </is>
      </c>
      <c r="C33" s="6" t="inlineStr">
        <is>
          <t>7727004200</t>
        </is>
      </c>
      <c r="D33" s="6" t="inlineStr">
        <is>
          <t>0688132141</t>
        </is>
      </c>
      <c r="E33" s="6" t="inlineStr">
        <is>
          <t>2026-01-28</t>
        </is>
      </c>
      <c r="F33" s="6" t="inlineStr">
        <is>
          <t>Service Delay</t>
        </is>
      </c>
      <c r="G33" s="6" t="inlineStr">
        <is>
          <t>2025-12-30</t>
        </is>
      </c>
      <c r="H33" s="6" t="inlineStr">
        <is>
          <t>2026-01-23</t>
        </is>
      </c>
      <c r="I33" s="6" t="inlineStr">
        <is>
          <t>Hearing Set</t>
        </is>
      </c>
      <c r="J33" s="6" t="inlineStr">
        <is>
          <t>2025-11-21</t>
        </is>
      </c>
      <c r="K33" s="6" t="inlineStr">
        <is>
          <t>2025-12-11</t>
        </is>
      </c>
      <c r="L33" s="6" t="inlineStr">
        <is>
          <t>Court Delay</t>
        </is>
      </c>
      <c r="M33" s="6" t="inlineStr">
        <is>
          <t>2025-09-03</t>
        </is>
      </c>
      <c r="N33" s="6" t="inlineStr">
        <is>
          <t>2025-11-20</t>
        </is>
      </c>
      <c r="O33" s="6" t="inlineStr">
        <is>
          <t>—</t>
        </is>
      </c>
      <c r="P33" s="6" t="inlineStr">
        <is>
          <t>—</t>
        </is>
      </c>
      <c r="Q33" s="6" t="inlineStr">
        <is>
          <t>—</t>
        </is>
      </c>
    </row>
    <row r="34">
      <c r="A34" s="16" t="inlineStr">
        <is>
          <t>2026-04-16</t>
        </is>
      </c>
      <c r="B34" s="16" t="inlineStr">
        <is>
          <t>Newrez</t>
        </is>
      </c>
      <c r="C34" s="16" t="inlineStr">
        <is>
          <t>7727004200</t>
        </is>
      </c>
      <c r="D34" s="16" t="inlineStr">
        <is>
          <t>0688132141</t>
        </is>
      </c>
      <c r="E34" s="16" t="inlineStr">
        <is>
          <t>2026-04-16</t>
        </is>
      </c>
      <c r="F34" s="16" t="inlineStr">
        <is>
          <t>Hearing Set</t>
        </is>
      </c>
      <c r="G34" s="16" t="inlineStr">
        <is>
          <t>2026-01-29</t>
        </is>
      </c>
      <c r="H34" s="16" t="inlineStr">
        <is>
          <t>2026-02-13</t>
        </is>
      </c>
      <c r="I34" s="16" t="inlineStr">
        <is>
          <t>Service Delay</t>
        </is>
      </c>
      <c r="J34" s="16" t="inlineStr">
        <is>
          <t>2025-12-30</t>
        </is>
      </c>
      <c r="K34" s="16" t="inlineStr">
        <is>
          <t>2026-01-23</t>
        </is>
      </c>
      <c r="L34" s="16" t="inlineStr">
        <is>
          <t>Hearing Set</t>
        </is>
      </c>
      <c r="M34" s="16" t="inlineStr">
        <is>
          <t>2025-11-21</t>
        </is>
      </c>
      <c r="N34" s="16" t="inlineStr">
        <is>
          <t>2025-12-11</t>
        </is>
      </c>
      <c r="O34" s="16" t="inlineStr">
        <is>
          <t>—</t>
        </is>
      </c>
      <c r="P34" s="16" t="inlineStr">
        <is>
          <t>—</t>
        </is>
      </c>
      <c r="Q34" s="16" t="inlineStr">
        <is>
          <t>—</t>
        </is>
      </c>
    </row>
    <row r="35">
      <c r="A35" s="6" t="inlineStr">
        <is>
          <t>2026-06-04</t>
        </is>
      </c>
      <c r="B35" s="6" t="inlineStr">
        <is>
          <t>Newrez</t>
        </is>
      </c>
      <c r="C35" s="6" t="inlineStr">
        <is>
          <t>7727004200</t>
        </is>
      </c>
      <c r="D35" s="6" t="inlineStr">
        <is>
          <t>0688132141</t>
        </is>
      </c>
      <c r="E35" s="6" t="inlineStr">
        <is>
          <t>2026-06-04</t>
        </is>
      </c>
      <c r="F35" s="6" t="inlineStr">
        <is>
          <t>Delinquency Review</t>
        </is>
      </c>
      <c r="G35" s="6" t="inlineStr">
        <is>
          <t>2026-04-17</t>
        </is>
      </c>
      <c r="H35" s="6" t="inlineStr">
        <is>
          <t>2026-04-17</t>
        </is>
      </c>
      <c r="I35" s="6" t="inlineStr">
        <is>
          <t>Hearing Set</t>
        </is>
      </c>
      <c r="J35" s="6" t="inlineStr">
        <is>
          <t>2026-01-29</t>
        </is>
      </c>
      <c r="K35" s="6" t="inlineStr">
        <is>
          <t>2026-02-13</t>
        </is>
      </c>
      <c r="L35" s="6" t="inlineStr">
        <is>
          <t>Service Delay</t>
        </is>
      </c>
      <c r="M35" s="6" t="inlineStr">
        <is>
          <t>2025-12-30</t>
        </is>
      </c>
      <c r="N35" s="6" t="inlineStr">
        <is>
          <t>2026-01-23</t>
        </is>
      </c>
      <c r="O35" s="6" t="inlineStr">
        <is>
          <t>—</t>
        </is>
      </c>
      <c r="P35" s="6" t="inlineStr">
        <is>
          <t>—</t>
        </is>
      </c>
      <c r="Q35" s="6" t="inlineStr">
        <is>
          <t>—</t>
        </is>
      </c>
    </row>
  </sheetData>
  <mergeCells count="13">
    <mergeCell ref="A8:Q8"/>
    <mergeCell ref="A6:Q6"/>
    <mergeCell ref="A9:Q9"/>
    <mergeCell ref="A3:Q3"/>
    <mergeCell ref="A12:Q12"/>
    <mergeCell ref="A4:Q4"/>
    <mergeCell ref="A7:Q7"/>
    <mergeCell ref="A2:Q2"/>
    <mergeCell ref="A13:Q13"/>
    <mergeCell ref="A10:Q10"/>
    <mergeCell ref="A11:Q11"/>
    <mergeCell ref="A1:Q1"/>
    <mergeCell ref="A5:Q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20" customHeight="1">
      <c r="A1" s="7" t="inlineStr">
        <is>
          <t>port.basic_data_loan_foreclosure_loss_mitigation — Redshift LM 历史（上游）</t>
        </is>
      </c>
    </row>
    <row r="2">
      <c r="A2" s="13" t="inlineStr">
        <is>
          <t>全 16 字段 · 多行/贷款（全历史） · 共 21 行 · 各贷款行数：{'7727000010': 2, '7727000065': 2, '7727000088': 9, '7727000672': 2, '7727004200': 6} · prod 实测 2026-06-04</t>
        </is>
      </c>
    </row>
    <row r="3" ht="56" customHeight="1">
      <c r="A3" s="14" t="inlineStr">
        <is>
          <t>查询 SQL（prod 只读）：
-- port.basic_data_loan_foreclosure_loss_mitigation · redshift_prod(只读) · 多行/贷款（全历史） · 业务日 2026-06-01
SELECT * FROM port.basic_data_loan_foreclosure_loss_mitigation WHERE loanid IN ('7727000088','7727000672','7727004200','7727000065','7727000010') ORDER BY loanid, fctrdt;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75" customHeight="1">
      <c r="A5" s="36" t="inlineStr">
        <is>
          <t>业务含义/目的：Redshift LM 历史(1 行/LM 周期)——按 (loanid, dealstartdate)，datadic 解码 lmdeal/lmprogram/lmstatus/lmdecision。 bpms.sync_loan_foreclosure_loss_mitigation 的上游；支撑‘一笔贷款多 LM 周期’。</t>
        </is>
      </c>
    </row>
    <row r="6" ht="18" customHeight="1">
      <c r="A6" s="36" t="inlineStr">
        <is>
          <t>何时来查：查某贷款全部 LM 周期/项目/决定(已解码)。</t>
        </is>
      </c>
    </row>
    <row r="7" ht="30" customHeight="1">
      <c r="A7" s="36" t="inlineStr">
        <is>
          <t>为什么这样处理：LM 多周期是常态；编码需经 datadic 解码成业务文案(JOIN key 拼 code+'.0')。</t>
        </is>
      </c>
    </row>
    <row r="8" ht="18" customHeight="1">
      <c r="A8" s="36" t="inlineStr">
        <is>
          <t>数据粒度：1 行/贷款/LM 周期。</t>
        </is>
      </c>
    </row>
    <row r="9" ht="75" customHeight="1">
      <c r="A9" s="36" t="inlineStr">
        <is>
          <t>上游链路：{ newrez.portnewrezlm + newrez.portnewrezdatadic } → port.basic_data_loan_fcl 体系 → port.basic_data_loan_foreclosure_loss_mitigation〔basic_data_pool_config.py:799-843〕</t>
        </is>
      </c>
    </row>
    <row r="10" ht="30" customHeight="1">
      <c r="A10" s="36" t="inlineStr">
        <is>
          <t>全部上游表：newrez.portnewrezlm、newrez.portnewrezdatadic、port.basic_data_loan_fcl</t>
        </is>
      </c>
    </row>
    <row r="11" ht="45" customHeight="1">
      <c r="A11" s="36" t="inlineStr">
        <is>
          <t>下游链路：→ bpms.sync_loan_foreclosure_loss_mitigation〔asset_managment_config.py:799-819〕 → 视图 → BPS LM 面板</t>
        </is>
      </c>
    </row>
    <row r="12" ht="45" customHeight="1">
      <c r="A12" s="36" t="inlineStr">
        <is>
          <t>全部下游表：bpms.sync_loan_foreclosure_loss_mitigation、bpms.biz_data_view_loan_details_foreclosure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8" t="inlineStr">
        <is>
          <t>dataasof</t>
        </is>
      </c>
      <c r="B14" s="8" t="inlineStr">
        <is>
          <t>servicer</t>
        </is>
      </c>
      <c r="C14" s="8" t="inlineStr">
        <is>
          <t>loanid</t>
        </is>
      </c>
      <c r="D14" s="8" t="inlineStr">
        <is>
          <t>svcloanid</t>
        </is>
      </c>
      <c r="E14" s="8" t="inlineStr">
        <is>
          <t>fctrdt</t>
        </is>
      </c>
      <c r="F14" s="8" t="inlineStr">
        <is>
          <t>deal</t>
        </is>
      </c>
      <c r="G14" s="8" t="inlineStr">
        <is>
          <t>program</t>
        </is>
      </c>
      <c r="H14" s="8" t="inlineStr">
        <is>
          <t>lmc_status</t>
        </is>
      </c>
      <c r="I14" s="8" t="inlineStr">
        <is>
          <t>cycle_opened_date</t>
        </is>
      </c>
      <c r="J14" s="8" t="inlineStr">
        <is>
          <t>cycle_closed_date</t>
        </is>
      </c>
      <c r="K14" s="8" t="inlineStr">
        <is>
          <t>final_disposition</t>
        </is>
      </c>
      <c r="L14" s="8" t="inlineStr">
        <is>
          <t>improgram</t>
        </is>
      </c>
      <c r="M14" s="8" t="inlineStr">
        <is>
          <t>denialreason</t>
        </is>
      </c>
      <c r="N14" s="8" t="inlineStr">
        <is>
          <t>borrower_intentions</t>
        </is>
      </c>
      <c r="O14" s="8" t="inlineStr">
        <is>
          <t>imminent_default</t>
        </is>
      </c>
      <c r="P14" s="8" t="inlineStr">
        <is>
          <t>single_point_of_contact</t>
        </is>
      </c>
    </row>
    <row r="15">
      <c r="A15" s="6" t="inlineStr">
        <is>
          <t>2026-04-15</t>
        </is>
      </c>
      <c r="B15" s="6" t="inlineStr">
        <is>
          <t>Newrez</t>
        </is>
      </c>
      <c r="C15" s="6" t="inlineStr">
        <is>
          <t>7727000010</t>
        </is>
      </c>
      <c r="D15" s="6" t="inlineStr">
        <is>
          <t>1031718692</t>
        </is>
      </c>
      <c r="E15" s="6" t="inlineStr">
        <is>
          <t>2026-04-15</t>
        </is>
      </c>
      <c r="F15" s="6" t="inlineStr">
        <is>
          <t>Evaluation</t>
        </is>
      </c>
      <c r="G15" s="6" t="inlineStr">
        <is>
          <t>Evaluation</t>
        </is>
      </c>
      <c r="H15" s="6" t="inlineStr">
        <is>
          <t xml:space="preserve">Pending Financials </t>
        </is>
      </c>
      <c r="I15" s="6" t="inlineStr">
        <is>
          <t>2024-11-26</t>
        </is>
      </c>
      <c r="J15" s="6" t="inlineStr">
        <is>
          <t>2024-12-23</t>
        </is>
      </c>
      <c r="K15" s="6" t="inlineStr">
        <is>
          <t>Request Incomplete/Failed to Provide Information</t>
        </is>
      </c>
      <c r="L15" s="6" t="inlineStr">
        <is>
          <t>21.0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</row>
    <row r="16">
      <c r="A16" s="16" t="inlineStr">
        <is>
          <t>2026-06-04</t>
        </is>
      </c>
      <c r="B16" s="16" t="inlineStr">
        <is>
          <t>Newrez</t>
        </is>
      </c>
      <c r="C16" s="16" t="inlineStr">
        <is>
          <t>7727000010</t>
        </is>
      </c>
      <c r="D16" s="16" t="inlineStr">
        <is>
          <t>1031718692</t>
        </is>
      </c>
      <c r="E16" s="16" t="inlineStr">
        <is>
          <t>2026-06-04</t>
        </is>
      </c>
      <c r="F16" s="16" t="inlineStr">
        <is>
          <t>Modification</t>
        </is>
      </c>
      <c r="G16" s="16" t="inlineStr">
        <is>
          <t>498.0</t>
        </is>
      </c>
      <c r="H16" s="16" t="inlineStr">
        <is>
          <t>Workout Denial</t>
        </is>
      </c>
      <c r="I16" s="16" t="inlineStr">
        <is>
          <t>2026-04-16</t>
        </is>
      </c>
      <c r="J16" s="16" t="inlineStr">
        <is>
          <t>2026-04-28</t>
        </is>
      </c>
      <c r="K16" s="16" t="inlineStr">
        <is>
          <t>Referral to FC</t>
        </is>
      </c>
      <c r="L16" s="16" t="inlineStr">
        <is>
          <t>498.0</t>
        </is>
      </c>
      <c r="M16" s="16" t="inlineStr">
        <is>
          <t>Hardship not resolved</t>
        </is>
      </c>
      <c r="N16" s="16" t="inlineStr">
        <is>
          <t>—</t>
        </is>
      </c>
      <c r="O16" s="16" t="inlineStr">
        <is>
          <t>—</t>
        </is>
      </c>
      <c r="P16" s="16" t="inlineStr">
        <is>
          <t>—</t>
        </is>
      </c>
    </row>
    <row r="17">
      <c r="A17" s="6" t="inlineStr">
        <is>
          <t>2025-06-30</t>
        </is>
      </c>
      <c r="B17" s="6" t="inlineStr">
        <is>
          <t>Newrez</t>
        </is>
      </c>
      <c r="C17" s="6" t="inlineStr">
        <is>
          <t>7727000065</t>
        </is>
      </c>
      <c r="D17" s="6" t="inlineStr">
        <is>
          <t>1031718621</t>
        </is>
      </c>
      <c r="E17" s="6" t="inlineStr">
        <is>
          <t>2025-06-30</t>
        </is>
      </c>
      <c r="F17" s="6" t="inlineStr">
        <is>
          <t>Evaluation</t>
        </is>
      </c>
      <c r="G17" s="6" t="inlineStr">
        <is>
          <t>Evaluation</t>
        </is>
      </c>
      <c r="H17" s="6" t="inlineStr">
        <is>
          <t xml:space="preserve">Pending Financials </t>
        </is>
      </c>
      <c r="I17" s="6" t="inlineStr">
        <is>
          <t>2024-11-26</t>
        </is>
      </c>
      <c r="J17" s="6" t="inlineStr">
        <is>
          <t>2024-12-23</t>
        </is>
      </c>
      <c r="K17" s="6" t="inlineStr">
        <is>
          <t>Request Incomplete/Failed to Provide Information</t>
        </is>
      </c>
      <c r="L17" s="6" t="inlineStr">
        <is>
          <t>21.0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</row>
    <row r="18">
      <c r="A18" s="16" t="inlineStr">
        <is>
          <t>2026-06-04</t>
        </is>
      </c>
      <c r="B18" s="16" t="inlineStr">
        <is>
          <t>Newrez</t>
        </is>
      </c>
      <c r="C18" s="16" t="inlineStr">
        <is>
          <t>7727000065</t>
        </is>
      </c>
      <c r="D18" s="16" t="inlineStr">
        <is>
          <t>1031718621</t>
        </is>
      </c>
      <c r="E18" s="16" t="inlineStr">
        <is>
          <t>2026-06-04</t>
        </is>
      </c>
      <c r="F18" s="16" t="inlineStr">
        <is>
          <t>Evaluation</t>
        </is>
      </c>
      <c r="G18" s="16" t="inlineStr">
        <is>
          <t>Evaluation</t>
        </is>
      </c>
      <c r="H18" s="16" t="inlineStr">
        <is>
          <t xml:space="preserve">Pending Financials </t>
        </is>
      </c>
      <c r="I18" s="16" t="inlineStr">
        <is>
          <t>2025-07-01</t>
        </is>
      </c>
      <c r="J18" s="16" t="inlineStr">
        <is>
          <t>2025-07-01</t>
        </is>
      </c>
      <c r="K18" s="16" t="inlineStr">
        <is>
          <t>LMS Opened in Error</t>
        </is>
      </c>
      <c r="L18" s="16" t="inlineStr">
        <is>
          <t>21.0</t>
        </is>
      </c>
      <c r="M18" s="16" t="inlineStr">
        <is>
          <t>—</t>
        </is>
      </c>
      <c r="N18" s="16" t="inlineStr">
        <is>
          <t>—</t>
        </is>
      </c>
      <c r="O18" s="16" t="inlineStr">
        <is>
          <t>—</t>
        </is>
      </c>
      <c r="P18" s="16" t="inlineStr">
        <is>
          <t>—</t>
        </is>
      </c>
    </row>
    <row r="19">
      <c r="A19" s="6" t="inlineStr">
        <is>
          <t>2025-01-29</t>
        </is>
      </c>
      <c r="B19" s="6" t="inlineStr">
        <is>
          <t>Newrez</t>
        </is>
      </c>
      <c r="C19" s="6" t="inlineStr">
        <is>
          <t>7727000088</t>
        </is>
      </c>
      <c r="D19" s="6" t="inlineStr">
        <is>
          <t>1031718838</t>
        </is>
      </c>
      <c r="E19" s="6" t="inlineStr">
        <is>
          <t>2025-01-29</t>
        </is>
      </c>
      <c r="F19" s="6" t="inlineStr">
        <is>
          <t>Evaluation</t>
        </is>
      </c>
      <c r="G19" s="6" t="inlineStr">
        <is>
          <t>Evaluation</t>
        </is>
      </c>
      <c r="H19" s="6" t="inlineStr">
        <is>
          <t xml:space="preserve">Pending Financials </t>
        </is>
      </c>
      <c r="I19" s="6" t="inlineStr">
        <is>
          <t>2024-09-20</t>
        </is>
      </c>
      <c r="J19" s="6" t="inlineStr">
        <is>
          <t>2024-10-21</t>
        </is>
      </c>
      <c r="K19" s="6" t="inlineStr">
        <is>
          <t>Request Incomplete/Failed to Provide Information</t>
        </is>
      </c>
      <c r="L19" s="6" t="inlineStr">
        <is>
          <t>21.0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</row>
    <row r="20">
      <c r="A20" s="16" t="inlineStr">
        <is>
          <t>2025-03-16</t>
        </is>
      </c>
      <c r="B20" s="16" t="inlineStr">
        <is>
          <t>Newrez</t>
        </is>
      </c>
      <c r="C20" s="16" t="inlineStr">
        <is>
          <t>7727000088</t>
        </is>
      </c>
      <c r="D20" s="16" t="inlineStr">
        <is>
          <t>1031718838</t>
        </is>
      </c>
      <c r="E20" s="16" t="inlineStr">
        <is>
          <t>2025-03-16</t>
        </is>
      </c>
      <c r="F20" s="16" t="inlineStr">
        <is>
          <t>Modification</t>
        </is>
      </c>
      <c r="G20" s="16" t="inlineStr">
        <is>
          <t>Bridger mod</t>
        </is>
      </c>
      <c r="H20" s="16" t="inlineStr">
        <is>
          <t>Workout Denial</t>
        </is>
      </c>
      <c r="I20" s="16" t="inlineStr">
        <is>
          <t>2025-01-30</t>
        </is>
      </c>
      <c r="J20" s="16" t="inlineStr">
        <is>
          <t>2025-03-11</t>
        </is>
      </c>
      <c r="K20" s="16" t="inlineStr">
        <is>
          <t>Referral to FC</t>
        </is>
      </c>
      <c r="L20" s="16" t="inlineStr">
        <is>
          <t>419.0</t>
        </is>
      </c>
      <c r="M20" s="16" t="inlineStr">
        <is>
          <t>—</t>
        </is>
      </c>
      <c r="N20" s="16" t="inlineStr">
        <is>
          <t>—</t>
        </is>
      </c>
      <c r="O20" s="16" t="inlineStr">
        <is>
          <t>—</t>
        </is>
      </c>
      <c r="P20" s="16" t="inlineStr">
        <is>
          <t>—</t>
        </is>
      </c>
    </row>
    <row r="21">
      <c r="A21" s="6" t="inlineStr">
        <is>
          <t>2025-05-07</t>
        </is>
      </c>
      <c r="B21" s="6" t="inlineStr">
        <is>
          <t>Newrez</t>
        </is>
      </c>
      <c r="C21" s="6" t="inlineStr">
        <is>
          <t>7727000088</t>
        </is>
      </c>
      <c r="D21" s="6" t="inlineStr">
        <is>
          <t>1031718838</t>
        </is>
      </c>
      <c r="E21" s="6" t="inlineStr">
        <is>
          <t>2025-05-07</t>
        </is>
      </c>
      <c r="F21" s="6" t="inlineStr">
        <is>
          <t>Modification</t>
        </is>
      </c>
      <c r="G21" s="6" t="inlineStr">
        <is>
          <t>Bridger mod</t>
        </is>
      </c>
      <c r="H21" s="6" t="inlineStr">
        <is>
          <t>Workout Denial</t>
        </is>
      </c>
      <c r="I21" s="6" t="inlineStr">
        <is>
          <t>2025-03-17</t>
        </is>
      </c>
      <c r="J21" s="6" t="inlineStr">
        <is>
          <t>2025-04-29</t>
        </is>
      </c>
      <c r="K21" s="6" t="inlineStr">
        <is>
          <t>Referral to FC</t>
        </is>
      </c>
      <c r="L21" s="6" t="inlineStr">
        <is>
          <t>419.0</t>
        </is>
      </c>
      <c r="M21" s="6" t="inlineStr">
        <is>
          <t>Request Incomplete/Failed to Provide Documentation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</row>
    <row r="22">
      <c r="A22" s="16" t="inlineStr">
        <is>
          <t>2025-06-19</t>
        </is>
      </c>
      <c r="B22" s="16" t="inlineStr">
        <is>
          <t>Newrez</t>
        </is>
      </c>
      <c r="C22" s="16" t="inlineStr">
        <is>
          <t>7727000088</t>
        </is>
      </c>
      <c r="D22" s="16" t="inlineStr">
        <is>
          <t>1031718838</t>
        </is>
      </c>
      <c r="E22" s="16" t="inlineStr">
        <is>
          <t>2025-06-19</t>
        </is>
      </c>
      <c r="F22" s="16" t="inlineStr">
        <is>
          <t>Modification</t>
        </is>
      </c>
      <c r="G22" s="16" t="inlineStr">
        <is>
          <t>Bridger mod</t>
        </is>
      </c>
      <c r="H22" s="16" t="inlineStr">
        <is>
          <t>Workout Denial</t>
        </is>
      </c>
      <c r="I22" s="16" t="inlineStr">
        <is>
          <t>2025-05-08</t>
        </is>
      </c>
      <c r="J22" s="16" t="inlineStr">
        <is>
          <t>2025-06-14</t>
        </is>
      </c>
      <c r="K22" s="16" t="inlineStr">
        <is>
          <t>Referral to FC</t>
        </is>
      </c>
      <c r="L22" s="16" t="inlineStr">
        <is>
          <t>419.0</t>
        </is>
      </c>
      <c r="M22" s="16" t="inlineStr">
        <is>
          <t>Request Incomplete/Failed to Provide Documentation</t>
        </is>
      </c>
      <c r="N22" s="16" t="inlineStr">
        <is>
          <t>—</t>
        </is>
      </c>
      <c r="O22" s="16" t="inlineStr">
        <is>
          <t>—</t>
        </is>
      </c>
      <c r="P22" s="16" t="inlineStr">
        <is>
          <t>—</t>
        </is>
      </c>
    </row>
    <row r="23">
      <c r="A23" s="6" t="inlineStr">
        <is>
          <t>2025-10-20</t>
        </is>
      </c>
      <c r="B23" s="6" t="inlineStr">
        <is>
          <t>Newrez</t>
        </is>
      </c>
      <c r="C23" s="6" t="inlineStr">
        <is>
          <t>7727000088</t>
        </is>
      </c>
      <c r="D23" s="6" t="inlineStr">
        <is>
          <t>1031718838</t>
        </is>
      </c>
      <c r="E23" s="6" t="inlineStr">
        <is>
          <t>2025-10-20</t>
        </is>
      </c>
      <c r="F23" s="6" t="inlineStr">
        <is>
          <t>Modification</t>
        </is>
      </c>
      <c r="G23" s="6" t="inlineStr">
        <is>
          <t>496.0</t>
        </is>
      </c>
      <c r="H23" s="6" t="inlineStr">
        <is>
          <t>Workout Denial</t>
        </is>
      </c>
      <c r="I23" s="6" t="inlineStr">
        <is>
          <t>2025-06-20</t>
        </is>
      </c>
      <c r="J23" s="6" t="inlineStr">
        <is>
          <t>2025-10-20</t>
        </is>
      </c>
      <c r="K23" s="6" t="inlineStr">
        <is>
          <t>Referral to FC</t>
        </is>
      </c>
      <c r="L23" s="6" t="inlineStr">
        <is>
          <t>496.0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</row>
    <row r="24">
      <c r="A24" s="16" t="inlineStr">
        <is>
          <t>2025-12-09</t>
        </is>
      </c>
      <c r="B24" s="16" t="inlineStr">
        <is>
          <t>Newrez</t>
        </is>
      </c>
      <c r="C24" s="16" t="inlineStr">
        <is>
          <t>7727000088</t>
        </is>
      </c>
      <c r="D24" s="16" t="inlineStr">
        <is>
          <t>1031718838</t>
        </is>
      </c>
      <c r="E24" s="16" t="inlineStr">
        <is>
          <t>2025-12-09</t>
        </is>
      </c>
      <c r="F24" s="16" t="inlineStr">
        <is>
          <t>Short Sale</t>
        </is>
      </c>
      <c r="G24" s="16" t="inlineStr">
        <is>
          <t>Short Sale</t>
        </is>
      </c>
      <c r="H24" s="16" t="inlineStr">
        <is>
          <t>Document Follow-up</t>
        </is>
      </c>
      <c r="I24" s="16" t="inlineStr">
        <is>
          <t>2025-10-20</t>
        </is>
      </c>
      <c r="J24" s="16" t="inlineStr">
        <is>
          <t>2025-11-21</t>
        </is>
      </c>
      <c r="K24" s="16" t="inlineStr">
        <is>
          <t>Request Incomplete/Failed to Provide Information</t>
        </is>
      </c>
      <c r="L24" s="16" t="inlineStr">
        <is>
          <t>8.0</t>
        </is>
      </c>
      <c r="M24" s="16" t="inlineStr">
        <is>
          <t>—</t>
        </is>
      </c>
      <c r="N24" s="16" t="inlineStr">
        <is>
          <t>—</t>
        </is>
      </c>
      <c r="O24" s="16" t="inlineStr">
        <is>
          <t>—</t>
        </is>
      </c>
      <c r="P24" s="16" t="inlineStr">
        <is>
          <t>—</t>
        </is>
      </c>
    </row>
    <row r="25">
      <c r="A25" s="6" t="inlineStr">
        <is>
          <t>2026-01-27</t>
        </is>
      </c>
      <c r="B25" s="6" t="inlineStr">
        <is>
          <t>Newrez</t>
        </is>
      </c>
      <c r="C25" s="6" t="inlineStr">
        <is>
          <t>7727000088</t>
        </is>
      </c>
      <c r="D25" s="6" t="inlineStr">
        <is>
          <t>1031718838</t>
        </is>
      </c>
      <c r="E25" s="6" t="inlineStr">
        <is>
          <t>2026-01-27</t>
        </is>
      </c>
      <c r="F25" s="6" t="inlineStr">
        <is>
          <t>DIL</t>
        </is>
      </c>
      <c r="G25" s="6" t="inlineStr">
        <is>
          <t>Deed-in-Lieu</t>
        </is>
      </c>
      <c r="H25" s="6" t="inlineStr">
        <is>
          <t>DIL Title Ordered</t>
        </is>
      </c>
      <c r="I25" s="6" t="inlineStr">
        <is>
          <t>2025-12-10</t>
        </is>
      </c>
      <c r="J25" s="6" t="inlineStr">
        <is>
          <t>2026-01-27</t>
        </is>
      </c>
      <c r="K25" s="6" t="inlineStr">
        <is>
          <t>LMS Opened in Error</t>
        </is>
      </c>
      <c r="L25" s="6" t="inlineStr">
        <is>
          <t>10.0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</row>
    <row r="26">
      <c r="A26" s="16" t="inlineStr">
        <is>
          <t>2026-02-17</t>
        </is>
      </c>
      <c r="B26" s="16" t="inlineStr">
        <is>
          <t>Newrez</t>
        </is>
      </c>
      <c r="C26" s="16" t="inlineStr">
        <is>
          <t>7727000088</t>
        </is>
      </c>
      <c r="D26" s="16" t="inlineStr">
        <is>
          <t>1031718838</t>
        </is>
      </c>
      <c r="E26" s="16" t="inlineStr">
        <is>
          <t>2026-02-17</t>
        </is>
      </c>
      <c r="F26" s="16" t="inlineStr">
        <is>
          <t>DIL</t>
        </is>
      </c>
      <c r="G26" s="16" t="inlineStr">
        <is>
          <t>Deed-in-Lieu</t>
        </is>
      </c>
      <c r="H26" s="16" t="inlineStr">
        <is>
          <t>Negotiate DIL liens</t>
        </is>
      </c>
      <c r="I26" s="16" t="inlineStr">
        <is>
          <t>2026-01-27</t>
        </is>
      </c>
      <c r="J26" s="16" t="inlineStr">
        <is>
          <t>2026-02-17</t>
        </is>
      </c>
      <c r="K26" s="16" t="inlineStr">
        <is>
          <t>LMS Opened in Error</t>
        </is>
      </c>
      <c r="L26" s="16" t="inlineStr">
        <is>
          <t>10.0</t>
        </is>
      </c>
      <c r="M26" s="16" t="inlineStr">
        <is>
          <t>—</t>
        </is>
      </c>
      <c r="N26" s="16" t="inlineStr">
        <is>
          <t>—</t>
        </is>
      </c>
      <c r="O26" s="16" t="inlineStr">
        <is>
          <t>—</t>
        </is>
      </c>
      <c r="P26" s="16" t="inlineStr">
        <is>
          <t>—</t>
        </is>
      </c>
    </row>
    <row r="27">
      <c r="A27" s="6" t="inlineStr">
        <is>
          <t>2026-06-04</t>
        </is>
      </c>
      <c r="B27" s="6" t="inlineStr">
        <is>
          <t>Newrez</t>
        </is>
      </c>
      <c r="C27" s="6" t="inlineStr">
        <is>
          <t>7727000088</t>
        </is>
      </c>
      <c r="D27" s="6" t="inlineStr">
        <is>
          <t>1031718838</t>
        </is>
      </c>
      <c r="E27" s="6" t="inlineStr">
        <is>
          <t>2026-06-04</t>
        </is>
      </c>
      <c r="F27" s="6" t="inlineStr">
        <is>
          <t>DIL</t>
        </is>
      </c>
      <c r="G27" s="6" t="inlineStr">
        <is>
          <t>Deed-in-Lieu</t>
        </is>
      </c>
      <c r="H27" s="6" t="inlineStr">
        <is>
          <t>Workout Denial</t>
        </is>
      </c>
      <c r="I27" s="6" t="inlineStr">
        <is>
          <t>2026-02-17</t>
        </is>
      </c>
      <c r="J27" s="6" t="inlineStr">
        <is>
          <t>2026-04-24</t>
        </is>
      </c>
      <c r="K27" s="6" t="inlineStr">
        <is>
          <t>Referral to FC</t>
        </is>
      </c>
      <c r="L27" s="6" t="inlineStr">
        <is>
          <t>10.0</t>
        </is>
      </c>
      <c r="M27" s="6" t="inlineStr">
        <is>
          <t>PMI Company Decline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</row>
    <row r="28">
      <c r="A28" s="16" t="inlineStr">
        <is>
          <t>2026-02-24</t>
        </is>
      </c>
      <c r="B28" s="16" t="inlineStr">
        <is>
          <t>Newrez</t>
        </is>
      </c>
      <c r="C28" s="16" t="inlineStr">
        <is>
          <t>7727000672</t>
        </is>
      </c>
      <c r="D28" s="16" t="inlineStr">
        <is>
          <t>1032761570</t>
        </is>
      </c>
      <c r="E28" s="16" t="inlineStr">
        <is>
          <t>2026-02-24</t>
        </is>
      </c>
      <c r="F28" s="16" t="inlineStr">
        <is>
          <t>Payment Plan</t>
        </is>
      </c>
      <c r="G28" s="16" t="inlineStr">
        <is>
          <t>Repayment Plan</t>
        </is>
      </c>
      <c r="H28" s="16" t="inlineStr">
        <is>
          <t>Workout Denial</t>
        </is>
      </c>
      <c r="I28" s="16" t="inlineStr">
        <is>
          <t>2025-04-11</t>
        </is>
      </c>
      <c r="J28" s="16" t="inlineStr">
        <is>
          <t>2025-08-14</t>
        </is>
      </c>
      <c r="K28" s="16" t="inlineStr">
        <is>
          <t>Referral to FC</t>
        </is>
      </c>
      <c r="L28" s="16" t="inlineStr">
        <is>
          <t>29.0</t>
        </is>
      </c>
      <c r="M28" s="16" t="inlineStr">
        <is>
          <t>Trial Plan Default</t>
        </is>
      </c>
      <c r="N28" s="16" t="inlineStr">
        <is>
          <t>Retention</t>
        </is>
      </c>
      <c r="O28" s="16" t="inlineStr">
        <is>
          <t>—</t>
        </is>
      </c>
      <c r="P28" s="16" t="inlineStr">
        <is>
          <t>—</t>
        </is>
      </c>
    </row>
    <row r="29">
      <c r="A29" s="6" t="inlineStr">
        <is>
          <t>2026-06-04</t>
        </is>
      </c>
      <c r="B29" s="6" t="inlineStr">
        <is>
          <t>Newrez</t>
        </is>
      </c>
      <c r="C29" s="6" t="inlineStr">
        <is>
          <t>7727000672</t>
        </is>
      </c>
      <c r="D29" s="6" t="inlineStr">
        <is>
          <t>1032761570</t>
        </is>
      </c>
      <c r="E29" s="6" t="inlineStr">
        <is>
          <t>2026-06-04</t>
        </is>
      </c>
      <c r="F29" s="6" t="inlineStr">
        <is>
          <t>Payment Plan</t>
        </is>
      </c>
      <c r="G29" s="6" t="inlineStr">
        <is>
          <t>Repayment Plan</t>
        </is>
      </c>
      <c r="H29" s="6" t="inlineStr">
        <is>
          <t>Monitor for pmts/funds</t>
        </is>
      </c>
      <c r="I29" s="6" t="inlineStr">
        <is>
          <t>2026-02-25</t>
        </is>
      </c>
      <c r="J29" s="6" t="inlineStr">
        <is>
          <t>—</t>
        </is>
      </c>
      <c r="K29" s="6" t="inlineStr">
        <is>
          <t>Pending</t>
        </is>
      </c>
      <c r="L29" s="6" t="inlineStr">
        <is>
          <t>29.0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</row>
    <row r="30">
      <c r="A30" s="16" t="inlineStr">
        <is>
          <t>2025-05-06</t>
        </is>
      </c>
      <c r="B30" s="16" t="inlineStr">
        <is>
          <t>Newrez</t>
        </is>
      </c>
      <c r="C30" s="16" t="inlineStr">
        <is>
          <t>7727004200</t>
        </is>
      </c>
      <c r="D30" s="16" t="inlineStr">
        <is>
          <t>0688132141</t>
        </is>
      </c>
      <c r="E30" s="16" t="inlineStr">
        <is>
          <t>2025-05-06</t>
        </is>
      </c>
      <c r="F30" s="16" t="inlineStr">
        <is>
          <t>Forbearance</t>
        </is>
      </c>
      <c r="G30" s="16" t="inlineStr">
        <is>
          <t>Unemployment Forbearance</t>
        </is>
      </c>
      <c r="H30" s="16" t="inlineStr">
        <is>
          <t>Monitor Forbearance</t>
        </is>
      </c>
      <c r="I30" s="16" t="inlineStr">
        <is>
          <t>2025-01-24</t>
        </is>
      </c>
      <c r="J30" s="16" t="inlineStr">
        <is>
          <t>2025-05-02</t>
        </is>
      </c>
      <c r="K30" s="16" t="inlineStr">
        <is>
          <t>Forbearance Complete</t>
        </is>
      </c>
      <c r="L30" s="16" t="inlineStr">
        <is>
          <t>14.0</t>
        </is>
      </c>
      <c r="M30" s="16" t="inlineStr">
        <is>
          <t>—</t>
        </is>
      </c>
      <c r="N30" s="16" t="inlineStr">
        <is>
          <t>—</t>
        </is>
      </c>
      <c r="O30" s="16" t="inlineStr">
        <is>
          <t>—</t>
        </is>
      </c>
      <c r="P30" s="16" t="inlineStr">
        <is>
          <t>—</t>
        </is>
      </c>
    </row>
    <row r="31">
      <c r="A31" s="6" t="inlineStr">
        <is>
          <t>2025-07-26</t>
        </is>
      </c>
      <c r="B31" s="6" t="inlineStr">
        <is>
          <t>Newrez</t>
        </is>
      </c>
      <c r="C31" s="6" t="inlineStr">
        <is>
          <t>7727004200</t>
        </is>
      </c>
      <c r="D31" s="6" t="inlineStr">
        <is>
          <t>0688132141</t>
        </is>
      </c>
      <c r="E31" s="6" t="inlineStr">
        <is>
          <t>2025-07-26</t>
        </is>
      </c>
      <c r="F31" s="6" t="inlineStr">
        <is>
          <t>Evaluation</t>
        </is>
      </c>
      <c r="G31" s="6" t="inlineStr">
        <is>
          <t>Evaluation</t>
        </is>
      </c>
      <c r="H31" s="6" t="inlineStr">
        <is>
          <t>Document Follow-up</t>
        </is>
      </c>
      <c r="I31" s="6" t="inlineStr">
        <is>
          <t>2025-05-07</t>
        </is>
      </c>
      <c r="J31" s="6" t="inlineStr">
        <is>
          <t>2025-05-30</t>
        </is>
      </c>
      <c r="K31" s="6" t="inlineStr">
        <is>
          <t>LMS Opened in Error</t>
        </is>
      </c>
      <c r="L31" s="6" t="inlineStr">
        <is>
          <t>21.0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</row>
    <row r="32">
      <c r="A32" s="16" t="inlineStr">
        <is>
          <t>2025-10-02</t>
        </is>
      </c>
      <c r="B32" s="16" t="inlineStr">
        <is>
          <t>Newrez</t>
        </is>
      </c>
      <c r="C32" s="16" t="inlineStr">
        <is>
          <t>7727004200</t>
        </is>
      </c>
      <c r="D32" s="16" t="inlineStr">
        <is>
          <t>0688132141</t>
        </is>
      </c>
      <c r="E32" s="16" t="inlineStr">
        <is>
          <t>2025-10-02</t>
        </is>
      </c>
      <c r="F32" s="16" t="inlineStr">
        <is>
          <t>Modification</t>
        </is>
      </c>
      <c r="G32" s="16" t="inlineStr">
        <is>
          <t>496.0</t>
        </is>
      </c>
      <c r="H32" s="16" t="inlineStr">
        <is>
          <t>Workout Denial</t>
        </is>
      </c>
      <c r="I32" s="16" t="inlineStr">
        <is>
          <t>2025-07-27</t>
        </is>
      </c>
      <c r="J32" s="16" t="inlineStr">
        <is>
          <t>2025-09-19</t>
        </is>
      </c>
      <c r="K32" s="16" t="inlineStr">
        <is>
          <t>Referral to FC</t>
        </is>
      </c>
      <c r="L32" s="16" t="inlineStr">
        <is>
          <t>496.0</t>
        </is>
      </c>
      <c r="M32" s="16" t="inlineStr">
        <is>
          <t>—</t>
        </is>
      </c>
      <c r="N32" s="16" t="inlineStr">
        <is>
          <t>—</t>
        </is>
      </c>
      <c r="O32" s="16" t="inlineStr">
        <is>
          <t>—</t>
        </is>
      </c>
      <c r="P32" s="16" t="inlineStr">
        <is>
          <t>—</t>
        </is>
      </c>
    </row>
    <row r="33">
      <c r="A33" s="6" t="inlineStr">
        <is>
          <t>2025-11-16</t>
        </is>
      </c>
      <c r="B33" s="6" t="inlineStr">
        <is>
          <t>Newrez</t>
        </is>
      </c>
      <c r="C33" s="6" t="inlineStr">
        <is>
          <t>7727004200</t>
        </is>
      </c>
      <c r="D33" s="6" t="inlineStr">
        <is>
          <t>0688132141</t>
        </is>
      </c>
      <c r="E33" s="6" t="inlineStr">
        <is>
          <t>2025-11-16</t>
        </is>
      </c>
      <c r="F33" s="6" t="inlineStr">
        <is>
          <t>Modification</t>
        </is>
      </c>
      <c r="G33" s="6" t="inlineStr">
        <is>
          <t>496.0</t>
        </is>
      </c>
      <c r="H33" s="6" t="inlineStr">
        <is>
          <t>Workout Denial</t>
        </is>
      </c>
      <c r="I33" s="6" t="inlineStr">
        <is>
          <t>2025-10-03</t>
        </is>
      </c>
      <c r="J33" s="6" t="inlineStr">
        <is>
          <t>—</t>
        </is>
      </c>
      <c r="K33" s="6" t="inlineStr">
        <is>
          <t>Pending</t>
        </is>
      </c>
      <c r="L33" s="6" t="inlineStr">
        <is>
          <t>496.0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</row>
    <row r="34">
      <c r="A34" s="16" t="inlineStr">
        <is>
          <t>2026-01-05</t>
        </is>
      </c>
      <c r="B34" s="16" t="inlineStr">
        <is>
          <t>Newrez</t>
        </is>
      </c>
      <c r="C34" s="16" t="inlineStr">
        <is>
          <t>7727004200</t>
        </is>
      </c>
      <c r="D34" s="16" t="inlineStr">
        <is>
          <t>0688132141</t>
        </is>
      </c>
      <c r="E34" s="16" t="inlineStr">
        <is>
          <t>2026-01-05</t>
        </is>
      </c>
      <c r="F34" s="16" t="inlineStr">
        <is>
          <t>Modification</t>
        </is>
      </c>
      <c r="G34" s="16" t="inlineStr">
        <is>
          <t>496.0</t>
        </is>
      </c>
      <c r="H34" s="16" t="inlineStr">
        <is>
          <t>Workout Denial</t>
        </is>
      </c>
      <c r="I34" s="16" t="inlineStr">
        <is>
          <t>2025-11-17</t>
        </is>
      </c>
      <c r="J34" s="16" t="inlineStr">
        <is>
          <t>2026-01-02</t>
        </is>
      </c>
      <c r="K34" s="16" t="inlineStr">
        <is>
          <t>Referral to FC</t>
        </is>
      </c>
      <c r="L34" s="16" t="inlineStr">
        <is>
          <t>496.0</t>
        </is>
      </c>
      <c r="M34" s="16" t="inlineStr">
        <is>
          <t>—</t>
        </is>
      </c>
      <c r="N34" s="16" t="inlineStr">
        <is>
          <t>—</t>
        </is>
      </c>
      <c r="O34" s="16" t="inlineStr">
        <is>
          <t>—</t>
        </is>
      </c>
      <c r="P34" s="16" t="inlineStr">
        <is>
          <t>—</t>
        </is>
      </c>
    </row>
    <row r="35">
      <c r="A35" s="6" t="inlineStr">
        <is>
          <t>2026-06-04</t>
        </is>
      </c>
      <c r="B35" s="6" t="inlineStr">
        <is>
          <t>Newrez</t>
        </is>
      </c>
      <c r="C35" s="6" t="inlineStr">
        <is>
          <t>7727004200</t>
        </is>
      </c>
      <c r="D35" s="6" t="inlineStr">
        <is>
          <t>0688132141</t>
        </is>
      </c>
      <c r="E35" s="6" t="inlineStr">
        <is>
          <t>2026-06-04</t>
        </is>
      </c>
      <c r="F35" s="6" t="inlineStr">
        <is>
          <t>Modification</t>
        </is>
      </c>
      <c r="G35" s="6" t="inlineStr">
        <is>
          <t>496.0</t>
        </is>
      </c>
      <c r="H35" s="6" t="inlineStr">
        <is>
          <t>Document Follow-up</t>
        </is>
      </c>
      <c r="I35" s="6" t="inlineStr">
        <is>
          <t>2026-01-06</t>
        </is>
      </c>
      <c r="J35" s="6" t="inlineStr">
        <is>
          <t>2026-02-02</t>
        </is>
      </c>
      <c r="K35" s="6" t="inlineStr">
        <is>
          <t>Request Incomplete/Failed to Provide Information</t>
        </is>
      </c>
      <c r="L35" s="6" t="inlineStr">
        <is>
          <t>496.0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</row>
  </sheetData>
  <mergeCells count="13">
    <mergeCell ref="A11:P11"/>
    <mergeCell ref="A10:P10"/>
    <mergeCell ref="A5:P5"/>
    <mergeCell ref="A13:P13"/>
    <mergeCell ref="A1:P1"/>
    <mergeCell ref="A9:P9"/>
    <mergeCell ref="A8:P8"/>
    <mergeCell ref="A6:P6"/>
    <mergeCell ref="A12:P12"/>
    <mergeCell ref="A4:P4"/>
    <mergeCell ref="A3:P3"/>
    <mergeCell ref="A7:P7"/>
    <mergeCell ref="A2:P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 ht="20" customHeight="1">
      <c r="A1" s="7" t="inlineStr">
        <is>
          <t>port.basic_data_loan_foreclosure_bankruptcy — Redshift 破产历史（上游）</t>
        </is>
      </c>
    </row>
    <row r="2">
      <c r="A2" s="13" t="inlineStr">
        <is>
          <t>全 15 字段 · 多行/贷款（全历史） · 共 3 行 · 各贷款行数：{'7727000010': 2, '7727000065': 1} · prod 实测 2026-06-04</t>
        </is>
      </c>
    </row>
    <row r="3" ht="56" customHeight="1">
      <c r="A3" s="14" t="inlineStr">
        <is>
          <t>查询 SQL（prod 只读）：
-- port.basic_data_loan_foreclosure_bankruptcy · redshift_prod(只读) · 多行/贷款（全历史） · 业务日 2026-06-01
SELECT * FROM port.basic_data_loan_foreclosure_bankruptcy WHERE loanid IN ('7727000088','7727000672','7727004200','7727000065','7727000010') ORDER BY loanid, fctrdt;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60" customHeight="1">
      <c r="A5" s="36" t="inlineStr">
        <is>
          <t>业务含义/目的：Redshift 破产历史(1 行/破产申请)——datadic 解码 bkstatus；Carrington 专有 mfr_filed_date(Newrez 为 NULL)。 bpms.sync_loan_foreclosure_bankruptcy 的上游。</t>
        </is>
      </c>
    </row>
    <row r="6" ht="18" customHeight="1">
      <c r="A6" s="36" t="inlineStr">
        <is>
          <t>何时来查：查某贷款全部破产申请/章节/状态(已解码)。</t>
        </is>
      </c>
    </row>
    <row r="7" ht="18" customHeight="1">
      <c r="A7" s="36" t="inlineStr">
        <is>
          <t>为什么这样处理：破产可多次申请；编码经 datadic 解码。</t>
        </is>
      </c>
    </row>
    <row r="8" ht="18" customHeight="1">
      <c r="A8" s="36" t="inlineStr">
        <is>
          <t>数据粒度：1 行/贷款/破产申请。</t>
        </is>
      </c>
    </row>
    <row r="9" ht="60" customHeight="1">
      <c r="A9" s="36" t="inlineStr">
        <is>
          <t>上游链路：{ newrez.portnewrezbk + newrez.portnewrezdatadic } → port.basic_data_loan_foreclosure_bankruptcy〔basic_data_pool_config.py:331-370〕</t>
        </is>
      </c>
    </row>
    <row r="10" ht="30" customHeight="1">
      <c r="A10" s="36" t="inlineStr">
        <is>
          <t>全部上游表：newrez.portnewrezbk、newrez.portnewrezdatadic、port.basic_data_loan_fcl</t>
        </is>
      </c>
    </row>
    <row r="11" ht="45" customHeight="1">
      <c r="A11" s="36" t="inlineStr">
        <is>
          <t>下游链路：→ bpms.sync_loan_foreclosure_bankruptcy〔asset_managment_config.py:822-843〕 → 视图 → BPS 破产面板</t>
        </is>
      </c>
    </row>
    <row r="12" ht="45" customHeight="1">
      <c r="A12" s="36" t="inlineStr">
        <is>
          <t>全部下游表：bpms.sync_loan_foreclosure_bankruptcy、bpms.biz_data_view_loan_details_foreclosure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8" t="inlineStr">
        <is>
          <t>dataasof</t>
        </is>
      </c>
      <c r="B14" s="8" t="inlineStr">
        <is>
          <t>servicer</t>
        </is>
      </c>
      <c r="C14" s="8" t="inlineStr">
        <is>
          <t>loanid</t>
        </is>
      </c>
      <c r="D14" s="8" t="inlineStr">
        <is>
          <t>svcloanid</t>
        </is>
      </c>
      <c r="E14" s="8" t="inlineStr">
        <is>
          <t>fctrdt</t>
        </is>
      </c>
      <c r="F14" s="8" t="inlineStr">
        <is>
          <t>bankruptcy_status</t>
        </is>
      </c>
      <c r="G14" s="8" t="inlineStr">
        <is>
          <t>legal_status</t>
        </is>
      </c>
      <c r="H14" s="8" t="inlineStr">
        <is>
          <t>status_date</t>
        </is>
      </c>
      <c r="I14" s="8" t="inlineStr">
        <is>
          <t>chapter</t>
        </is>
      </c>
      <c r="J14" s="8" t="inlineStr">
        <is>
          <t>lien_status</t>
        </is>
      </c>
      <c r="K14" s="8" t="inlineStr">
        <is>
          <t>mfr_status</t>
        </is>
      </c>
      <c r="L14" s="8" t="inlineStr">
        <is>
          <t>mfr_filed_date</t>
        </is>
      </c>
      <c r="M14" s="8" t="inlineStr">
        <is>
          <t>claim_status</t>
        </is>
      </c>
      <c r="N14" s="8" t="inlineStr">
        <is>
          <t>proof_of_claim_date</t>
        </is>
      </c>
      <c r="O14" s="8" t="inlineStr">
        <is>
          <t>post_petition_due_date</t>
        </is>
      </c>
    </row>
    <row r="15">
      <c r="A15" s="6" t="inlineStr">
        <is>
          <t>2024-07-24</t>
        </is>
      </c>
      <c r="B15" s="6" t="inlineStr">
        <is>
          <t>Newrez</t>
        </is>
      </c>
      <c r="C15" s="6" t="inlineStr">
        <is>
          <t>7727000010</t>
        </is>
      </c>
      <c r="D15" s="6" t="inlineStr">
        <is>
          <t>1031718692</t>
        </is>
      </c>
      <c r="E15" s="6" t="inlineStr">
        <is>
          <t>2024-07-24</t>
        </is>
      </c>
      <c r="F15" s="6" t="inlineStr">
        <is>
          <t>Active</t>
        </is>
      </c>
      <c r="G15" s="6" t="inlineStr">
        <is>
          <t>BK13</t>
        </is>
      </c>
      <c r="H15" s="6" t="inlineStr">
        <is>
          <t>2023-08-23</t>
        </is>
      </c>
      <c r="I15" s="6" t="inlineStr">
        <is>
          <t>13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2023-09-30</t>
        </is>
      </c>
      <c r="O15" s="6" t="inlineStr">
        <is>
          <t>2023-09-01</t>
        </is>
      </c>
    </row>
    <row r="16">
      <c r="A16" s="16" t="inlineStr">
        <is>
          <t>2026-06-04</t>
        </is>
      </c>
      <c r="B16" s="16" t="inlineStr">
        <is>
          <t>Newrez</t>
        </is>
      </c>
      <c r="C16" s="16" t="inlineStr">
        <is>
          <t>7727000010</t>
        </is>
      </c>
      <c r="D16" s="16" t="inlineStr">
        <is>
          <t>1031718692</t>
        </is>
      </c>
      <c r="E16" s="16" t="inlineStr">
        <is>
          <t>2026-06-04</t>
        </is>
      </c>
      <c r="F16" s="16" t="inlineStr">
        <is>
          <t>Active</t>
        </is>
      </c>
      <c r="G16" s="16" t="inlineStr">
        <is>
          <t>BK13</t>
        </is>
      </c>
      <c r="H16" s="16" t="inlineStr">
        <is>
          <t>2024-02-06</t>
        </is>
      </c>
      <c r="I16" s="16" t="inlineStr">
        <is>
          <t>13</t>
        </is>
      </c>
      <c r="J16" s="16" t="inlineStr">
        <is>
          <t>—</t>
        </is>
      </c>
      <c r="K16" s="16" t="inlineStr">
        <is>
          <t>—</t>
        </is>
      </c>
      <c r="L16" s="16" t="inlineStr">
        <is>
          <t>—</t>
        </is>
      </c>
      <c r="M16" s="16" t="inlineStr">
        <is>
          <t>—</t>
        </is>
      </c>
      <c r="N16" s="16" t="inlineStr">
        <is>
          <t>2023-09-30</t>
        </is>
      </c>
      <c r="O16" s="16" t="inlineStr">
        <is>
          <t>2026-06-01</t>
        </is>
      </c>
    </row>
    <row r="17">
      <c r="A17" s="6" t="inlineStr">
        <is>
          <t>2026-06-04</t>
        </is>
      </c>
      <c r="B17" s="6" t="inlineStr">
        <is>
          <t>Newrez</t>
        </is>
      </c>
      <c r="C17" s="6" t="inlineStr">
        <is>
          <t>7727000065</t>
        </is>
      </c>
      <c r="D17" s="6" t="inlineStr">
        <is>
          <t>1031718621</t>
        </is>
      </c>
      <c r="E17" s="6" t="inlineStr">
        <is>
          <t>2026-06-04</t>
        </is>
      </c>
      <c r="F17" s="6" t="inlineStr">
        <is>
          <t>Discharged</t>
        </is>
      </c>
      <c r="G17" s="6" t="inlineStr">
        <is>
          <t>REO</t>
        </is>
      </c>
      <c r="H17" s="6" t="inlineStr">
        <is>
          <t>2025-04-30</t>
        </is>
      </c>
      <c r="I17" s="6" t="inlineStr">
        <is>
          <t>7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</row>
  </sheetData>
  <mergeCells count="13">
    <mergeCell ref="A12:O12"/>
    <mergeCell ref="A7:O7"/>
    <mergeCell ref="A2:O2"/>
    <mergeCell ref="A10:O10"/>
    <mergeCell ref="A13:O13"/>
    <mergeCell ref="A11:O11"/>
    <mergeCell ref="A1:O1"/>
    <mergeCell ref="A5:O5"/>
    <mergeCell ref="A8:O8"/>
    <mergeCell ref="A6:O6"/>
    <mergeCell ref="A9:O9"/>
    <mergeCell ref="A4:O4"/>
    <mergeCell ref="A3:O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7" t="inlineStr">
        <is>
          <t>tempfc.temp_basic_data_fcl — Redshift 改名临时表（portnewrezfc 等原始列→统一列；运行时中间产物，basic_data_loan_fcl 的上游）</t>
        </is>
      </c>
    </row>
    <row r="2">
      <c r="A2" s="13" t="inlineStr">
        <is>
          <t>全 37 字段 · 取数口径：dataasof=MAX(每贷款) · 命中 5/5 贷款（无行的贷款列显示 —） · prod 实测 2026-06-04 · 业务日 2026-06-01</t>
        </is>
      </c>
    </row>
    <row r="3" ht="56" customHeight="1">
      <c r="A3" s="14" t="inlineStr">
        <is>
          <t>查询 SQL（prod 只读）：
-- tempfc.temp_basic_data_fcl · redshift_prod(只读) · 每贷款 dataasof=MAX(最新快照) · 业务日 2026-06-01
SELECT t.* FROM tempfc.temp_basic_data_fcl t JOIN (SELECT loanid, MAX(dataasof) AS _md FROM tempfc.temp_basic_data_fcl WHERE loanid IN ('7727000088','7727000672','7727004200','7727000065','7727000010') GROUP BY loanid) m ON t.loanid=m.loanid AND t.dataasof=m._md;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60" customHeight="1">
      <c r="A5" s="36" t="inlineStr">
        <is>
          <t>业务含义/目的：Redshift 运行时改名临时表(37 列)——把各 servicer 原始列(如 fcreferraldate)改成统一列(referral_start_date)的中间产物。 port.basic_data_loan_fcl 的直接上游；承接‘改名’这一步。</t>
        </is>
      </c>
    </row>
    <row r="6" ht="18" customHeight="1">
      <c r="A6" s="36" t="inlineStr">
        <is>
          <t>何时来查：排查‘统一列名 ↔ 源列名’映射、定位改名是否正确。</t>
        </is>
      </c>
    </row>
    <row r="7" ht="30" customHeight="1">
      <c r="A7" s="36" t="inlineStr">
        <is>
          <t>为什么这样处理：UNION 前必须先统一列名；单列一张临时表做改名，逻辑清晰、便于调试；运行时产物。</t>
        </is>
      </c>
    </row>
    <row r="8" ht="18" customHeight="1">
      <c r="A8" s="36" t="inlineStr">
        <is>
          <t>数据粒度：1 行/贷款/dataasof。</t>
        </is>
      </c>
    </row>
    <row r="9" ht="45" customHeight="1">
      <c r="A9" s="36" t="inlineStr">
        <is>
          <t>上游链路：newrez.portnewrezfc(各家源) → tempfc.temp_basic_data_fcl〔改名 basic_data_pool_config.py ~:1538-1565〕</t>
        </is>
      </c>
    </row>
    <row r="10" ht="30" customHeight="1">
      <c r="A10" s="36" t="inlineStr">
        <is>
          <t>全部上游表：newrez.portnewrezfc、Servicer 文件(L0)</t>
        </is>
      </c>
    </row>
    <row r="11" ht="45" customHeight="1">
      <c r="A11" s="36" t="inlineStr">
        <is>
          <t>下游链路：→ port.basic_data_loan_fcl(UNION) → FCL 业务族(foreclosure/stage/hold/lm/bk) → bpms.sync_* → BPS</t>
        </is>
      </c>
    </row>
    <row r="12" ht="90" customHeight="1">
      <c r="A12" s="36" t="inlineStr">
        <is>
          <t>全部下游表：port.basic_data_loan_fcl、port.basic_data_loan_foreclosure、port.fcl_stage_info、port.basic_data_loan_foreclosure_hold、port.basic_data_loan_foreclosure_loss_mitigation、port.basic_data_loan_foreclosure_bankruptcy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8" t="inlineStr">
        <is>
          <t>字段</t>
        </is>
      </c>
      <c r="B14" s="8" t="inlineStr">
        <is>
          <t>7727000088</t>
        </is>
      </c>
      <c r="C14" s="8" t="inlineStr">
        <is>
          <t>7727000672</t>
        </is>
      </c>
      <c r="D14" s="8" t="inlineStr">
        <is>
          <t>7727004200</t>
        </is>
      </c>
      <c r="E14" s="8" t="inlineStr">
        <is>
          <t>7727000065</t>
        </is>
      </c>
      <c r="F14" s="8" t="inlineStr">
        <is>
          <t>7727000010</t>
        </is>
      </c>
    </row>
    <row r="15">
      <c r="A15" s="15" t="inlineStr">
        <is>
          <t>dataasof</t>
        </is>
      </c>
      <c r="B15" s="6" t="inlineStr">
        <is>
          <t>2026-06-04</t>
        </is>
      </c>
      <c r="C15" s="6" t="inlineStr">
        <is>
          <t>2026-06-04</t>
        </is>
      </c>
      <c r="D15" s="6" t="inlineStr">
        <is>
          <t>2026-06-04</t>
        </is>
      </c>
      <c r="E15" s="6" t="inlineStr">
        <is>
          <t>2026-06-04</t>
        </is>
      </c>
      <c r="F15" s="6" t="inlineStr">
        <is>
          <t>2026-06-04</t>
        </is>
      </c>
    </row>
    <row r="16">
      <c r="A16" s="15" t="inlineStr">
        <is>
          <t>loanid</t>
        </is>
      </c>
      <c r="B16" s="16" t="inlineStr">
        <is>
          <t>7727000088</t>
        </is>
      </c>
      <c r="C16" s="16" t="inlineStr">
        <is>
          <t>7727000672</t>
        </is>
      </c>
      <c r="D16" s="16" t="inlineStr">
        <is>
          <t>7727004200</t>
        </is>
      </c>
      <c r="E16" s="16" t="inlineStr">
        <is>
          <t>7727000065</t>
        </is>
      </c>
      <c r="F16" s="16" t="inlineStr">
        <is>
          <t>7727000010</t>
        </is>
      </c>
    </row>
    <row r="17">
      <c r="A17" s="15" t="inlineStr">
        <is>
          <t>servicer</t>
        </is>
      </c>
      <c r="B17" s="6" t="inlineStr">
        <is>
          <t>Newrez</t>
        </is>
      </c>
      <c r="C17" s="6" t="inlineStr">
        <is>
          <t>Newrez</t>
        </is>
      </c>
      <c r="D17" s="6" t="inlineStr">
        <is>
          <t>Newrez</t>
        </is>
      </c>
      <c r="E17" s="6" t="inlineStr">
        <is>
          <t>Newrez</t>
        </is>
      </c>
      <c r="F17" s="6" t="inlineStr">
        <is>
          <t>Newrez</t>
        </is>
      </c>
    </row>
    <row r="18">
      <c r="A18" s="15" t="inlineStr">
        <is>
          <t>svc_loanid</t>
        </is>
      </c>
      <c r="B18" s="16" t="inlineStr">
        <is>
          <t>1031718838</t>
        </is>
      </c>
      <c r="C18" s="16" t="inlineStr">
        <is>
          <t>1032761570</t>
        </is>
      </c>
      <c r="D18" s="16" t="inlineStr">
        <is>
          <t>0688132141</t>
        </is>
      </c>
      <c r="E18" s="16" t="inlineStr">
        <is>
          <t>1031718621</t>
        </is>
      </c>
      <c r="F18" s="16" t="inlineStr">
        <is>
          <t>1031718692</t>
        </is>
      </c>
    </row>
    <row r="19">
      <c r="A19" s="15" t="inlineStr">
        <is>
          <t>activefcflag</t>
        </is>
      </c>
      <c r="B19" s="6" t="inlineStr">
        <is>
          <t>0</t>
        </is>
      </c>
      <c r="C19" s="6" t="inlineStr">
        <is>
          <t>0</t>
        </is>
      </c>
      <c r="D19" s="6" t="inlineStr">
        <is>
          <t>0</t>
        </is>
      </c>
      <c r="E19" s="6" t="inlineStr">
        <is>
          <t>0</t>
        </is>
      </c>
      <c r="F19" s="6" t="inlineStr">
        <is>
          <t>0</t>
        </is>
      </c>
    </row>
    <row r="20">
      <c r="A20" s="15" t="inlineStr">
        <is>
          <t>titleordereddate</t>
        </is>
      </c>
      <c r="B20" s="16" t="inlineStr">
        <is>
          <t>—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2025-11-13</t>
        </is>
      </c>
      <c r="F20" s="16" t="inlineStr">
        <is>
          <t>—</t>
        </is>
      </c>
    </row>
    <row r="21">
      <c r="A21" s="15" t="inlineStr">
        <is>
          <t>titlereceiveddate</t>
        </is>
      </c>
      <c r="B21" s="6" t="inlineStr">
        <is>
          <t>—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2025-12-02</t>
        </is>
      </c>
      <c r="F21" s="6" t="inlineStr">
        <is>
          <t>—</t>
        </is>
      </c>
    </row>
    <row r="22">
      <c r="A22" s="15" t="inlineStr">
        <is>
          <t>titlecleardate</t>
        </is>
      </c>
      <c r="B22" s="16" t="inlineStr">
        <is>
          <t>—</t>
        </is>
      </c>
      <c r="C22" s="16" t="inlineStr">
        <is>
          <t>—</t>
        </is>
      </c>
      <c r="D22" s="16" t="inlineStr">
        <is>
          <t>—</t>
        </is>
      </c>
      <c r="E22" s="16" t="inlineStr">
        <is>
          <t>—</t>
        </is>
      </c>
      <c r="F22" s="16" t="inlineStr">
        <is>
          <t>—</t>
        </is>
      </c>
    </row>
    <row r="23">
      <c r="A23" s="15" t="inlineStr">
        <is>
          <t>noi_date</t>
        </is>
      </c>
      <c r="B23" s="6" t="inlineStr">
        <is>
          <t>—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</row>
    <row r="24">
      <c r="A24" s="15" t="inlineStr">
        <is>
          <t>fcsetupdate</t>
        </is>
      </c>
      <c r="B24" s="16" t="inlineStr">
        <is>
          <t>2025-05-23</t>
        </is>
      </c>
      <c r="C24" s="16" t="inlineStr">
        <is>
          <t>2026-03-09</t>
        </is>
      </c>
      <c r="D24" s="16" t="inlineStr">
        <is>
          <t>2025-06-27</t>
        </is>
      </c>
      <c r="E24" s="16" t="inlineStr">
        <is>
          <t>2025-02-03</t>
        </is>
      </c>
      <c r="F24" s="16" t="inlineStr">
        <is>
          <t>—</t>
        </is>
      </c>
    </row>
    <row r="25">
      <c r="A25" s="15" t="inlineStr">
        <is>
          <t>referral_start_date</t>
        </is>
      </c>
      <c r="B25" s="6" t="inlineStr">
        <is>
          <t>2025-05-23</t>
        </is>
      </c>
      <c r="C25" s="6" t="inlineStr">
        <is>
          <t>2026-03-09</t>
        </is>
      </c>
      <c r="D25" s="6" t="inlineStr">
        <is>
          <t>2025-06-27</t>
        </is>
      </c>
      <c r="E25" s="6" t="inlineStr">
        <is>
          <t>2025-02-03</t>
        </is>
      </c>
      <c r="F25" s="6" t="inlineStr">
        <is>
          <t>—</t>
        </is>
      </c>
    </row>
    <row r="26">
      <c r="A26" s="15" t="inlineStr">
        <is>
          <t>svc_days_infc</t>
        </is>
      </c>
      <c r="B26" s="16" t="inlineStr">
        <is>
          <t>368</t>
        </is>
      </c>
      <c r="C26" s="16" t="inlineStr">
        <is>
          <t>79</t>
        </is>
      </c>
      <c r="D26" s="16" t="inlineStr">
        <is>
          <t>294</t>
        </is>
      </c>
      <c r="E26" s="16" t="inlineStr">
        <is>
          <t>254</t>
        </is>
      </c>
      <c r="F26" s="16" t="inlineStr">
        <is>
          <t>—</t>
        </is>
      </c>
    </row>
    <row r="27">
      <c r="A27" s="15" t="inlineStr">
        <is>
          <t>daysinfc</t>
        </is>
      </c>
      <c r="B27" s="6" t="inlineStr">
        <is>
          <t>368</t>
        </is>
      </c>
      <c r="C27" s="6" t="inlineStr">
        <is>
          <t>79</t>
        </is>
      </c>
      <c r="D27" s="6" t="inlineStr">
        <is>
          <t>294</t>
        </is>
      </c>
      <c r="E27" s="6" t="inlineStr">
        <is>
          <t>254</t>
        </is>
      </c>
      <c r="F27" s="6" t="inlineStr">
        <is>
          <t>—</t>
        </is>
      </c>
    </row>
    <row r="28">
      <c r="A28" s="15" t="inlineStr">
        <is>
          <t>demandsentdate</t>
        </is>
      </c>
      <c r="B28" s="16" t="inlineStr">
        <is>
          <t>2025-02-18</t>
        </is>
      </c>
      <c r="C28" s="16" t="inlineStr">
        <is>
          <t>2025-11-17</t>
        </is>
      </c>
      <c r="D28" s="16" t="inlineStr">
        <is>
          <t>2025-05-20</t>
        </is>
      </c>
      <c r="E28" s="16" t="inlineStr">
        <is>
          <t>2024-08-12</t>
        </is>
      </c>
      <c r="F28" s="16" t="inlineStr">
        <is>
          <t>2026-04-10</t>
        </is>
      </c>
    </row>
    <row r="29">
      <c r="A29" s="15" t="inlineStr">
        <is>
          <t>demandexpirationdate</t>
        </is>
      </c>
      <c r="B29" s="6" t="inlineStr">
        <is>
          <t>2025-03-25</t>
        </is>
      </c>
      <c r="C29" s="6" t="inlineStr">
        <is>
          <t>2025-12-22</t>
        </is>
      </c>
      <c r="D29" s="6" t="inlineStr">
        <is>
          <t>2025-06-24</t>
        </is>
      </c>
      <c r="E29" s="6" t="inlineStr">
        <is>
          <t>2024-09-18</t>
        </is>
      </c>
      <c r="F29" s="6" t="inlineStr">
        <is>
          <t>2026-05-15</t>
        </is>
      </c>
    </row>
    <row r="30">
      <c r="A30" s="15" t="inlineStr">
        <is>
          <t>legal_start_date</t>
        </is>
      </c>
      <c r="B30" s="16" t="inlineStr">
        <is>
          <t>2025-06-13</t>
        </is>
      </c>
      <c r="C30" s="16" t="inlineStr">
        <is>
          <t>2026-03-25</t>
        </is>
      </c>
      <c r="D30" s="16" t="inlineStr">
        <is>
          <t>2025-07-21</t>
        </is>
      </c>
      <c r="E30" s="16" t="inlineStr">
        <is>
          <t>2025-03-27</t>
        </is>
      </c>
      <c r="F30" s="16" t="inlineStr">
        <is>
          <t>—</t>
        </is>
      </c>
    </row>
    <row r="31">
      <c r="A31" s="15" t="inlineStr">
        <is>
          <t>service_start_date</t>
        </is>
      </c>
      <c r="B31" s="6" t="inlineStr">
        <is>
          <t>2025-07-18</t>
        </is>
      </c>
      <c r="C31" s="6" t="inlineStr">
        <is>
          <t>—</t>
        </is>
      </c>
      <c r="D31" s="6" t="inlineStr">
        <is>
          <t>2025-12-24</t>
        </is>
      </c>
      <c r="E31" s="6" t="inlineStr">
        <is>
          <t>2025-05-03</t>
        </is>
      </c>
      <c r="F31" s="6" t="inlineStr">
        <is>
          <t>—</t>
        </is>
      </c>
    </row>
    <row r="32">
      <c r="A32" s="15" t="inlineStr">
        <is>
          <t>fcjudgment_hearing_scheduled</t>
        </is>
      </c>
      <c r="B32" s="16" t="inlineStr">
        <is>
          <t>2026-03-27</t>
        </is>
      </c>
      <c r="C32" s="16" t="inlineStr">
        <is>
          <t>—</t>
        </is>
      </c>
      <c r="D32" s="16" t="inlineStr">
        <is>
          <t>2026-04-13</t>
        </is>
      </c>
      <c r="E32" s="16" t="inlineStr">
        <is>
          <t>2025-10-15</t>
        </is>
      </c>
      <c r="F32" s="16" t="inlineStr">
        <is>
          <t>—</t>
        </is>
      </c>
    </row>
    <row r="33">
      <c r="A33" s="15" t="inlineStr">
        <is>
          <t>fcjudgment_end_date</t>
        </is>
      </c>
      <c r="B33" s="6" t="inlineStr">
        <is>
          <t>2026-04-08</t>
        </is>
      </c>
      <c r="C33" s="6" t="inlineStr">
        <is>
          <t>—</t>
        </is>
      </c>
      <c r="D33" s="6" t="inlineStr">
        <is>
          <t>2026-02-13</t>
        </is>
      </c>
      <c r="E33" s="6" t="inlineStr">
        <is>
          <t>2025-08-25</t>
        </is>
      </c>
      <c r="F33" s="6" t="inlineStr">
        <is>
          <t>—</t>
        </is>
      </c>
    </row>
    <row r="34">
      <c r="A34" s="15" t="inlineStr">
        <is>
          <t>fcscheduled_sale_date</t>
        </is>
      </c>
      <c r="B34" s="16" t="inlineStr">
        <is>
          <t>—</t>
        </is>
      </c>
      <c r="C34" s="16" t="inlineStr">
        <is>
          <t>—</t>
        </is>
      </c>
      <c r="D34" s="16" t="inlineStr">
        <is>
          <t>2026-05-19</t>
        </is>
      </c>
      <c r="E34" s="16" t="inlineStr">
        <is>
          <t>—</t>
        </is>
      </c>
      <c r="F34" s="16" t="inlineStr">
        <is>
          <t>—</t>
        </is>
      </c>
    </row>
    <row r="35">
      <c r="A35" s="15" t="inlineStr">
        <is>
          <t>fcsale_held_date</t>
        </is>
      </c>
      <c r="B35" s="6" t="inlineStr">
        <is>
          <t>2026-05-22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2025-10-14</t>
        </is>
      </c>
      <c r="F35" s="6" t="inlineStr">
        <is>
          <t>—</t>
        </is>
      </c>
    </row>
    <row r="36">
      <c r="A36" s="15" t="inlineStr">
        <is>
          <t>fcbidamount</t>
        </is>
      </c>
      <c r="B36" s="16" t="inlineStr">
        <is>
          <t>301500</t>
        </is>
      </c>
      <c r="C36" s="16" t="inlineStr">
        <is>
          <t>—</t>
        </is>
      </c>
      <c r="D36" s="16" t="inlineStr">
        <is>
          <t>—</t>
        </is>
      </c>
      <c r="E36" s="16" t="inlineStr">
        <is>
          <t>390832.5</t>
        </is>
      </c>
      <c r="F36" s="16" t="inlineStr">
        <is>
          <t>—</t>
        </is>
      </c>
    </row>
    <row r="37">
      <c r="A37" s="15" t="inlineStr">
        <is>
          <t>fcapprbidprice</t>
        </is>
      </c>
      <c r="B37" s="6" t="inlineStr">
        <is>
          <t>301500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390832.5</t>
        </is>
      </c>
      <c r="F37" s="6" t="inlineStr">
        <is>
          <t>—</t>
        </is>
      </c>
    </row>
    <row r="38">
      <c r="A38" s="15" t="inlineStr">
        <is>
          <t>fcsaleamount</t>
        </is>
      </c>
      <c r="B38" s="16" t="inlineStr">
        <is>
          <t>200100</t>
        </is>
      </c>
      <c r="C38" s="16" t="inlineStr">
        <is>
          <t>—</t>
        </is>
      </c>
      <c r="D38" s="16" t="inlineStr">
        <is>
          <t>—</t>
        </is>
      </c>
      <c r="E38" s="16" t="inlineStr">
        <is>
          <t>357200</t>
        </is>
      </c>
      <c r="F38" s="16" t="inlineStr">
        <is>
          <t>—</t>
        </is>
      </c>
    </row>
    <row r="39">
      <c r="A39" s="15" t="inlineStr">
        <is>
          <t>fcl3rdpartyproceedsreceiveddate</t>
        </is>
      </c>
      <c r="B39" s="6" t="inlineStr">
        <is>
          <t>—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</row>
    <row r="40">
      <c r="A40" s="15" t="inlineStr">
        <is>
          <t>fcresults</t>
        </is>
      </c>
      <c r="B40" s="16" t="inlineStr">
        <is>
          <t>REO</t>
        </is>
      </c>
      <c r="C40" s="16" t="inlineStr">
        <is>
          <t>—</t>
        </is>
      </c>
      <c r="D40" s="16" t="inlineStr">
        <is>
          <t>—</t>
        </is>
      </c>
      <c r="E40" s="16" t="inlineStr">
        <is>
          <t>REO</t>
        </is>
      </c>
      <c r="F40" s="16" t="inlineStr">
        <is>
          <t>—</t>
        </is>
      </c>
    </row>
    <row r="41">
      <c r="A41" s="15" t="inlineStr">
        <is>
          <t>fcstage</t>
        </is>
      </c>
      <c r="B41" s="6" t="inlineStr">
        <is>
          <t>Post Sale Review (SCRA and PACER Check)</t>
        </is>
      </c>
      <c r="C41" s="6" t="inlineStr">
        <is>
          <t>Pre-Sale Review 1 (SCRA and PACER Check)</t>
        </is>
      </c>
      <c r="D41" s="6" t="inlineStr">
        <is>
          <t>Pre-Sale Review 1 (SCRA and PACER Check)</t>
        </is>
      </c>
      <c r="E41" s="6" t="inlineStr">
        <is>
          <t>Post Sale Review (SCRA and PACER Check)</t>
        </is>
      </c>
      <c r="F41" s="6" t="inlineStr">
        <is>
          <t>—</t>
        </is>
      </c>
    </row>
    <row r="42">
      <c r="A42" s="15" t="inlineStr">
        <is>
          <t>lastfcstepcompleted</t>
        </is>
      </c>
      <c r="B42" s="16" t="inlineStr">
        <is>
          <t>Post Sale Review (SCRA and PACER Check)</t>
        </is>
      </c>
      <c r="C42" s="16" t="inlineStr">
        <is>
          <t>First Publication</t>
        </is>
      </c>
      <c r="D42" s="16" t="inlineStr">
        <is>
          <t>Sale Scheduled For</t>
        </is>
      </c>
      <c r="E42" s="16" t="inlineStr">
        <is>
          <t>Post Sale Review (SCRA and PACER Check)</t>
        </is>
      </c>
      <c r="F42" s="16" t="inlineStr">
        <is>
          <t>—</t>
        </is>
      </c>
    </row>
    <row r="43">
      <c r="A43" s="15" t="inlineStr">
        <is>
          <t>lastfcstepcompleteddate</t>
        </is>
      </c>
      <c r="B43" s="6" t="inlineStr">
        <is>
          <t>2026-05-26</t>
        </is>
      </c>
      <c r="C43" s="6" t="inlineStr">
        <is>
          <t>2026-03-25</t>
        </is>
      </c>
      <c r="D43" s="6" t="inlineStr">
        <is>
          <t>2026-05-19</t>
        </is>
      </c>
      <c r="E43" s="6" t="inlineStr">
        <is>
          <t>2025-10-15</t>
        </is>
      </c>
      <c r="F43" s="6" t="inlineStr">
        <is>
          <t>—</t>
        </is>
      </c>
    </row>
    <row r="44">
      <c r="A44" s="15" t="inlineStr">
        <is>
          <t>fcremovaldesc</t>
        </is>
      </c>
      <c r="B44" s="16" t="inlineStr">
        <is>
          <t>Process Complete</t>
        </is>
      </c>
      <c r="C44" s="16" t="inlineStr">
        <is>
          <t>Loss Mitigation</t>
        </is>
      </c>
      <c r="D44" s="16" t="inlineStr">
        <is>
          <t>Paid in Full</t>
        </is>
      </c>
      <c r="E44" s="16" t="inlineStr">
        <is>
          <t>Process Complete</t>
        </is>
      </c>
      <c r="F44" s="16" t="inlineStr">
        <is>
          <t>—</t>
        </is>
      </c>
    </row>
    <row r="45">
      <c r="A45" s="15" t="inlineStr">
        <is>
          <t>fcremovaldate</t>
        </is>
      </c>
      <c r="B45" s="6" t="inlineStr">
        <is>
          <t>2026-05-26</t>
        </is>
      </c>
      <c r="C45" s="6" t="inlineStr">
        <is>
          <t>2026-05-27</t>
        </is>
      </c>
      <c r="D45" s="6" t="inlineStr">
        <is>
          <t>2026-04-17</t>
        </is>
      </c>
      <c r="E45" s="6" t="inlineStr">
        <is>
          <t>2025-10-15</t>
        </is>
      </c>
      <c r="F45" s="6" t="inlineStr">
        <is>
          <t>—</t>
        </is>
      </c>
    </row>
    <row r="46">
      <c r="A46" s="15" t="inlineStr">
        <is>
          <t>judicial</t>
        </is>
      </c>
      <c r="B46" s="16" t="inlineStr">
        <is>
          <t>1.0</t>
        </is>
      </c>
      <c r="C46" s="16" t="inlineStr">
        <is>
          <t>0.0</t>
        </is>
      </c>
      <c r="D46" s="16" t="inlineStr">
        <is>
          <t>1.0</t>
        </is>
      </c>
      <c r="E46" s="16" t="inlineStr">
        <is>
          <t>1.0</t>
        </is>
      </c>
      <c r="F46" s="16" t="inlineStr">
        <is>
          <t>—</t>
        </is>
      </c>
    </row>
    <row r="47">
      <c r="A47" s="15" t="inlineStr">
        <is>
          <t>fcfirm</t>
        </is>
      </c>
      <c r="B47" s="6" t="inlineStr">
        <is>
          <t>Kelley Kronenberg, P.A.</t>
        </is>
      </c>
      <c r="C47" s="6" t="inlineStr">
        <is>
          <t>Orlans Law Group PLLC</t>
        </is>
      </c>
      <c r="D47" s="6" t="inlineStr">
        <is>
          <t>Johnson, Blumberg &amp; Associates, LLC</t>
        </is>
      </c>
      <c r="E47" s="6" t="inlineStr">
        <is>
          <t>RAS (Primary)</t>
        </is>
      </c>
      <c r="F47" s="6" t="inlineStr">
        <is>
          <t>—</t>
        </is>
      </c>
    </row>
    <row r="48">
      <c r="A48" s="15" t="inlineStr">
        <is>
          <t>fccontestedflag</t>
        </is>
      </c>
      <c r="B48" s="16" t="inlineStr">
        <is>
          <t>0</t>
        </is>
      </c>
      <c r="C48" s="16" t="inlineStr">
        <is>
          <t>0</t>
        </is>
      </c>
      <c r="D48" s="16" t="inlineStr">
        <is>
          <t>0</t>
        </is>
      </c>
      <c r="E48" s="16" t="inlineStr">
        <is>
          <t>0</t>
        </is>
      </c>
      <c r="F48" s="16" t="inlineStr">
        <is>
          <t>0</t>
        </is>
      </c>
    </row>
    <row r="49">
      <c r="A49" s="15" t="inlineStr">
        <is>
          <t>jr_sr_lien_flag</t>
        </is>
      </c>
      <c r="B49" s="6" t="inlineStr">
        <is>
          <t>1.0</t>
        </is>
      </c>
      <c r="C49" s="6" t="inlineStr">
        <is>
          <t>1.0</t>
        </is>
      </c>
      <c r="D49" s="6" t="inlineStr">
        <is>
          <t>1.0</t>
        </is>
      </c>
      <c r="E49" s="6" t="inlineStr">
        <is>
          <t>1.0</t>
        </is>
      </c>
      <c r="F49" s="6" t="inlineStr">
        <is>
          <t>—</t>
        </is>
      </c>
    </row>
    <row r="50">
      <c r="A50" s="15" t="inlineStr">
        <is>
          <t>dtdeedrecorded</t>
        </is>
      </c>
      <c r="B50" s="16" t="inlineStr">
        <is>
          <t>—</t>
        </is>
      </c>
      <c r="C50" s="16" t="inlineStr">
        <is>
          <t>—</t>
        </is>
      </c>
      <c r="D50" s="16" t="inlineStr">
        <is>
          <t>—</t>
        </is>
      </c>
      <c r="E50" s="16" t="inlineStr">
        <is>
          <t>2025-10-28</t>
        </is>
      </c>
      <c r="F50" s="16" t="inlineStr">
        <is>
          <t>—</t>
        </is>
      </c>
    </row>
    <row r="51">
      <c r="A51" s="15" t="inlineStr">
        <is>
          <t>activejnrlienfcflag</t>
        </is>
      </c>
      <c r="B51" s="6" t="inlineStr">
        <is>
          <t>0</t>
        </is>
      </c>
      <c r="C51" s="6" t="inlineStr">
        <is>
          <t>0</t>
        </is>
      </c>
      <c r="D51" s="6" t="inlineStr">
        <is>
          <t>0</t>
        </is>
      </c>
      <c r="E51" s="6" t="inlineStr">
        <is>
          <t>0</t>
        </is>
      </c>
      <c r="F51" s="6" t="inlineStr">
        <is>
          <t>0</t>
        </is>
      </c>
    </row>
  </sheetData>
  <mergeCells count="13">
    <mergeCell ref="A2:F2"/>
    <mergeCell ref="A11:F11"/>
    <mergeCell ref="A10:F10"/>
    <mergeCell ref="A13:F13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7" t="inlineStr">
        <is>
          <t>port.basic_data_daily_loan_common — 逾期支线 L2 统一日表（delq_status；每贷款最新 asofdate）</t>
        </is>
      </c>
    </row>
    <row r="2">
      <c r="A2" s="13" t="inlineStr">
        <is>
          <t>全 78 字段 · 取数口径：asofdate=MAX(每贷款) · 命中 5/5 贷款（无行的贷款列显示 —） · prod 实测 2026-06-04 · 业务日 2026-06-01</t>
        </is>
      </c>
    </row>
    <row r="3" ht="56" customHeight="1">
      <c r="A3" s="14" t="inlineStr">
        <is>
          <t>查询 SQL（prod 只读）：
-- port.basic_data_daily_loan_common · redshift_prod(只读) · 每贷款 asofdate=MAX(最新快照) · 业务日 2026-06-01
SELECT t.* FROM port.basic_data_daily_loan_common t JOIN (SELECT loanid, MAX(asofdate) AS _md FROM port.basic_data_daily_loan_common WHERE loanid IN ('7727000088','7727000672','7727004200','7727000065','7727000010') GROUP BY loanid) m ON t.loanid=m.loanid AND t.asofdate=m._md;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60" customHeight="1">
      <c r="A5" s="36" t="inlineStr">
        <is>
          <t>业务含义/目的：逾期支线 L2 统一日表(78 列)——全 servicer UNION 后的标准日表，含 delq_status、fcl_flag、lm_flag 等(asofdate)。 逾期/状态归一的统一入口；L3 清洗的上游。</t>
        </is>
      </c>
    </row>
    <row r="6" ht="18" customHeight="1">
      <c r="A6" s="36" t="inlineStr">
        <is>
          <t>何时来查：查‘统一后的每日逾期/状态原值’、对账各家归一。</t>
        </is>
      </c>
    </row>
    <row r="7" ht="45" customHeight="1">
      <c r="A7" s="36" t="inlineStr">
        <is>
          <t>为什么这样处理：各家逾期/状态字段名与取值不同，先 UNION 成统一日表；注意 fcl_flag 在此并未真正归一(Newrez/SLS 为 NULL)，真正归一在 L4 FCL 业务族。</t>
        </is>
      </c>
    </row>
    <row r="8" ht="18" customHeight="1">
      <c r="A8" s="36" t="inlineStr">
        <is>
          <t>数据粒度：1 行/贷款/asofdate。</t>
        </is>
      </c>
    </row>
    <row r="9" ht="75" customHeight="1">
      <c r="A9" s="36" t="inlineStr">
        <is>
          <t>上游链路：Servicer 文件(L0) → newrez.portnewrezgeneral(等各家) → port.portdaily_v2〔portdaily_config.py〕 → port.basic_data_daily_loan_common〔daily_data_loan_common_config.py〕</t>
        </is>
      </c>
    </row>
    <row r="10" ht="45" customHeight="1">
      <c r="A10" s="36" t="inlineStr">
        <is>
          <t>全部上游表：Servicer 文件(L0)、newrez.portnewrezgeneral、newrez.portnewrezfc、port.portdaily_v2</t>
        </is>
      </c>
    </row>
    <row r="11" ht="60" customHeight="1">
      <c r="A11" s="36" t="inlineStr">
        <is>
          <t>下游链路：→ port.basic_data_daily_loan_common_clean(L3) → { port.portmonthbase / port.basic_data_fcl_related.delq_status / port.fcl_stage_info.group } → BPS</t>
        </is>
      </c>
    </row>
    <row r="12" ht="45" customHeight="1">
      <c r="A12" s="36" t="inlineStr">
        <is>
          <t>全部下游表：port.basic_data_daily_loan_common_clean、port.basic_data_fcl_related、port.fcl_stage_info、port.portmonthbase</t>
        </is>
      </c>
    </row>
    <row r="13" ht="30" customHeight="1">
      <c r="A13" s="36" t="inlineStr">
        <is>
          <t>备注：fcl_flag 在 L2 未归一（直传，Newrez/SLS NULL）；真正归一在 L4 FCL 业务族。</t>
        </is>
      </c>
    </row>
    <row r="14" ht="18" customHeight="1">
      <c r="A14" s="37" t="inlineStr">
        <is>
          <t>▲ 以上为「业务含义与全链路血缘」说明块；下方为原始数据 ────</t>
        </is>
      </c>
    </row>
    <row r="15">
      <c r="A15" s="8" t="inlineStr">
        <is>
          <t>字段</t>
        </is>
      </c>
      <c r="B15" s="8" t="inlineStr">
        <is>
          <t>7727000088</t>
        </is>
      </c>
      <c r="C15" s="8" t="inlineStr">
        <is>
          <t>7727000672</t>
        </is>
      </c>
      <c r="D15" s="8" t="inlineStr">
        <is>
          <t>7727004200</t>
        </is>
      </c>
      <c r="E15" s="8" t="inlineStr">
        <is>
          <t>7727000065</t>
        </is>
      </c>
      <c r="F15" s="8" t="inlineStr">
        <is>
          <t>7727000010</t>
        </is>
      </c>
    </row>
    <row r="16">
      <c r="A16" s="15" t="inlineStr">
        <is>
          <t>asofdate</t>
        </is>
      </c>
      <c r="B16" s="6" t="inlineStr">
        <is>
          <t>2026-06-04</t>
        </is>
      </c>
      <c r="C16" s="6" t="inlineStr">
        <is>
          <t>2026-06-04</t>
        </is>
      </c>
      <c r="D16" s="6" t="inlineStr">
        <is>
          <t>2026-06-04</t>
        </is>
      </c>
      <c r="E16" s="6" t="inlineStr">
        <is>
          <t>2026-06-04</t>
        </is>
      </c>
      <c r="F16" s="6" t="inlineStr">
        <is>
          <t>2026-06-04</t>
        </is>
      </c>
    </row>
    <row r="17">
      <c r="A17" s="15" t="inlineStr">
        <is>
          <t>loanid</t>
        </is>
      </c>
      <c r="B17" s="16" t="inlineStr">
        <is>
          <t>7727000088</t>
        </is>
      </c>
      <c r="C17" s="16" t="inlineStr">
        <is>
          <t>7727000672</t>
        </is>
      </c>
      <c r="D17" s="16" t="inlineStr">
        <is>
          <t>7727004200</t>
        </is>
      </c>
      <c r="E17" s="16" t="inlineStr">
        <is>
          <t>7727000065</t>
        </is>
      </c>
      <c r="F17" s="16" t="inlineStr">
        <is>
          <t>7727000010</t>
        </is>
      </c>
    </row>
    <row r="18">
      <c r="A18" s="15" t="inlineStr">
        <is>
          <t>svcloanid</t>
        </is>
      </c>
      <c r="B18" s="6" t="inlineStr">
        <is>
          <t>1031718838</t>
        </is>
      </c>
      <c r="C18" s="6" t="inlineStr">
        <is>
          <t>1032761570</t>
        </is>
      </c>
      <c r="D18" s="6" t="inlineStr">
        <is>
          <t>0688132141</t>
        </is>
      </c>
      <c r="E18" s="6" t="inlineStr">
        <is>
          <t>1031718621</t>
        </is>
      </c>
      <c r="F18" s="6" t="inlineStr">
        <is>
          <t>1031718692</t>
        </is>
      </c>
    </row>
    <row r="19">
      <c r="A19" s="15" t="inlineStr">
        <is>
          <t>servicer</t>
        </is>
      </c>
      <c r="B19" s="16" t="inlineStr">
        <is>
          <t>Newrez</t>
        </is>
      </c>
      <c r="C19" s="16" t="inlineStr">
        <is>
          <t>Newrez</t>
        </is>
      </c>
      <c r="D19" s="16" t="inlineStr">
        <is>
          <t>Newrez</t>
        </is>
      </c>
      <c r="E19" s="16" t="inlineStr">
        <is>
          <t>Newrez</t>
        </is>
      </c>
      <c r="F19" s="16" t="inlineStr">
        <is>
          <t>Newrez</t>
        </is>
      </c>
    </row>
    <row r="20">
      <c r="A20" s="15" t="inlineStr">
        <is>
          <t>nextduedate</t>
        </is>
      </c>
      <c r="B20" s="6" t="inlineStr">
        <is>
          <t>2025-01-01</t>
        </is>
      </c>
      <c r="C20" s="6" t="inlineStr">
        <is>
          <t>2026-02-01</t>
        </is>
      </c>
      <c r="D20" s="6" t="inlineStr">
        <is>
          <t>2024-12-01</t>
        </is>
      </c>
      <c r="E20" s="6" t="inlineStr">
        <is>
          <t>2024-03-01</t>
        </is>
      </c>
      <c r="F20" s="6" t="inlineStr">
        <is>
          <t>2026-04-01</t>
        </is>
      </c>
    </row>
    <row r="21">
      <c r="A21" s="15" t="inlineStr">
        <is>
          <t>principalbalance</t>
        </is>
      </c>
      <c r="B21" s="16" t="inlineStr">
        <is>
          <t>316909.28</t>
        </is>
      </c>
      <c r="C21" s="16" t="inlineStr">
        <is>
          <t>416163.45</t>
        </is>
      </c>
      <c r="D21" s="16" t="inlineStr">
        <is>
          <t>0</t>
        </is>
      </c>
      <c r="E21" s="16" t="inlineStr">
        <is>
          <t>470399.51</t>
        </is>
      </c>
      <c r="F21" s="16" t="inlineStr">
        <is>
          <t>259917</t>
        </is>
      </c>
    </row>
    <row r="22">
      <c r="A22" s="15" t="inlineStr">
        <is>
          <t>deferredprincipalbalance</t>
        </is>
      </c>
      <c r="B22" s="6" t="inlineStr">
        <is>
          <t>0</t>
        </is>
      </c>
      <c r="C22" s="6" t="inlineStr">
        <is>
          <t>0</t>
        </is>
      </c>
      <c r="D22" s="6" t="inlineStr">
        <is>
          <t>0</t>
        </is>
      </c>
      <c r="E22" s="6" t="inlineStr">
        <is>
          <t>0</t>
        </is>
      </c>
      <c r="F22" s="6" t="inlineStr">
        <is>
          <t>0</t>
        </is>
      </c>
    </row>
    <row r="23">
      <c r="A23" s="15" t="inlineStr">
        <is>
          <t>deferredinterestbalance</t>
        </is>
      </c>
      <c r="B23" s="16" t="inlineStr">
        <is>
          <t>0</t>
        </is>
      </c>
      <c r="C23" s="16" t="inlineStr">
        <is>
          <t>0</t>
        </is>
      </c>
      <c r="D23" s="16" t="inlineStr">
        <is>
          <t>0</t>
        </is>
      </c>
      <c r="E23" s="16" t="inlineStr">
        <is>
          <t>0</t>
        </is>
      </c>
      <c r="F23" s="16" t="inlineStr">
        <is>
          <t>0</t>
        </is>
      </c>
    </row>
    <row r="24">
      <c r="A24" s="15" t="inlineStr">
        <is>
          <t>schedule_pandi_daily</t>
        </is>
      </c>
      <c r="B24" s="6" t="inlineStr">
        <is>
          <t>2080.37</t>
        </is>
      </c>
      <c r="C24" s="6" t="inlineStr">
        <is>
          <t>3690.48</t>
        </is>
      </c>
      <c r="D24" s="6" t="inlineStr">
        <is>
          <t>2195.33</t>
        </is>
      </c>
      <c r="E24" s="6" t="inlineStr">
        <is>
          <t>2381.97</t>
        </is>
      </c>
      <c r="F24" s="6" t="inlineStr">
        <is>
          <t>1287.59</t>
        </is>
      </c>
    </row>
    <row r="25">
      <c r="A25" s="15" t="inlineStr">
        <is>
          <t>principalpaidmtd</t>
        </is>
      </c>
      <c r="B25" s="16" t="inlineStr">
        <is>
          <t>0</t>
        </is>
      </c>
      <c r="C25" s="16" t="inlineStr">
        <is>
          <t>0</t>
        </is>
      </c>
      <c r="D25" s="16" t="inlineStr">
        <is>
          <t>0</t>
        </is>
      </c>
      <c r="E25" s="16" t="inlineStr">
        <is>
          <t>0</t>
        </is>
      </c>
      <c r="F25" s="16" t="inlineStr">
        <is>
          <t>1498.21</t>
        </is>
      </c>
    </row>
    <row r="26">
      <c r="A26" s="15" t="inlineStr">
        <is>
          <t>interestpaidmtd</t>
        </is>
      </c>
      <c r="B26" s="6" t="inlineStr">
        <is>
          <t>0</t>
        </is>
      </c>
      <c r="C26" s="6" t="inlineStr">
        <is>
          <t>0</t>
        </is>
      </c>
      <c r="D26" s="6" t="inlineStr">
        <is>
          <t>0</t>
        </is>
      </c>
      <c r="E26" s="6" t="inlineStr">
        <is>
          <t>0</t>
        </is>
      </c>
      <c r="F26" s="6" t="inlineStr">
        <is>
          <t>2364.56</t>
        </is>
      </c>
    </row>
    <row r="27">
      <c r="A27" s="15" t="inlineStr">
        <is>
          <t>interest_rate</t>
        </is>
      </c>
      <c r="B27" s="16" t="inlineStr">
        <is>
          <t>6.625</t>
        </is>
      </c>
      <c r="C27" s="16" t="inlineStr">
        <is>
          <t>9.875</t>
        </is>
      </c>
      <c r="D27" s="16" t="inlineStr">
        <is>
          <t>2.75</t>
        </is>
      </c>
      <c r="E27" s="16" t="inlineStr">
        <is>
          <t>4.25</t>
        </is>
      </c>
      <c r="F27" s="16" t="inlineStr">
        <is>
          <t>3.625</t>
        </is>
      </c>
    </row>
    <row r="28">
      <c r="A28" s="15" t="inlineStr">
        <is>
          <t>bal_prin_original</t>
        </is>
      </c>
      <c r="B28" s="6" t="inlineStr">
        <is>
          <t>324900</t>
        </is>
      </c>
      <c r="C28" s="6" t="inlineStr">
        <is>
          <t>425000</t>
        </is>
      </c>
      <c r="D28" s="6" t="inlineStr">
        <is>
          <t>532000</t>
        </is>
      </c>
      <c r="E28" s="6" t="inlineStr">
        <is>
          <t>484200</t>
        </is>
      </c>
      <c r="F28" s="6" t="inlineStr">
        <is>
          <t>282335</t>
        </is>
      </c>
    </row>
    <row r="29">
      <c r="A29" s="15" t="inlineStr">
        <is>
          <t>delq_status</t>
        </is>
      </c>
      <c r="B29" s="16" t="inlineStr">
        <is>
          <t>REO</t>
        </is>
      </c>
      <c r="C29" s="16" t="inlineStr">
        <is>
          <t>120-149 DPD</t>
        </is>
      </c>
      <c r="D29" s="16" t="inlineStr">
        <is>
          <t>Full Payoff</t>
        </is>
      </c>
      <c r="E29" s="16" t="inlineStr">
        <is>
          <t>REO</t>
        </is>
      </c>
      <c r="F29" s="16" t="inlineStr">
        <is>
          <t>Performing Bankruptcy</t>
        </is>
      </c>
    </row>
    <row r="30">
      <c r="A30" s="15" t="inlineStr">
        <is>
          <t>originalterm</t>
        </is>
      </c>
      <c r="B30" s="6" t="inlineStr">
        <is>
          <t>360</t>
        </is>
      </c>
      <c r="C30" s="6" t="inlineStr">
        <is>
          <t>360</t>
        </is>
      </c>
      <c r="D30" s="6" t="inlineStr">
        <is>
          <t>360</t>
        </is>
      </c>
      <c r="E30" s="6" t="inlineStr">
        <is>
          <t>360</t>
        </is>
      </c>
      <c r="F30" s="6" t="inlineStr">
        <is>
          <t>360</t>
        </is>
      </c>
    </row>
    <row r="31">
      <c r="A31" s="15" t="inlineStr">
        <is>
          <t>escrowbalance</t>
        </is>
      </c>
      <c r="B31" s="16" t="inlineStr">
        <is>
          <t>-15023.97</t>
        </is>
      </c>
      <c r="C31" s="16" t="inlineStr">
        <is>
          <t>-4631.78</t>
        </is>
      </c>
      <c r="D31" s="16" t="inlineStr">
        <is>
          <t>0</t>
        </is>
      </c>
      <c r="E31" s="16" t="inlineStr">
        <is>
          <t>-12520.46</t>
        </is>
      </c>
      <c r="F31" s="16" t="inlineStr">
        <is>
          <t>-5261.99</t>
        </is>
      </c>
    </row>
    <row r="32">
      <c r="A32" s="15" t="inlineStr">
        <is>
          <t>escrow_advance_balance</t>
        </is>
      </c>
      <c r="B32" s="6" t="inlineStr">
        <is>
          <t>15023.97</t>
        </is>
      </c>
      <c r="C32" s="6" t="inlineStr">
        <is>
          <t>4631.78</t>
        </is>
      </c>
      <c r="D32" s="6" t="inlineStr">
        <is>
          <t>0</t>
        </is>
      </c>
      <c r="E32" s="6" t="inlineStr">
        <is>
          <t>12520.46</t>
        </is>
      </c>
      <c r="F32" s="6" t="inlineStr">
        <is>
          <t>5261.99</t>
        </is>
      </c>
    </row>
    <row r="33">
      <c r="A33" s="15" t="inlineStr">
        <is>
          <t>reccorpadvance</t>
        </is>
      </c>
      <c r="B33" s="16" t="inlineStr">
        <is>
          <t>-10593.28</t>
        </is>
      </c>
      <c r="C33" s="16" t="inlineStr">
        <is>
          <t>-922.04</t>
        </is>
      </c>
      <c r="D33" s="16" t="inlineStr">
        <is>
          <t>-30</t>
        </is>
      </c>
      <c r="E33" s="16" t="inlineStr">
        <is>
          <t>-16073.44</t>
        </is>
      </c>
      <c r="F33" s="16" t="inlineStr">
        <is>
          <t>0</t>
        </is>
      </c>
    </row>
    <row r="34">
      <c r="A34" s="15" t="inlineStr">
        <is>
          <t>nonrecovadvance</t>
        </is>
      </c>
      <c r="B34" s="6" t="inlineStr">
        <is>
          <t>-1605.75</t>
        </is>
      </c>
      <c r="C34" s="6" t="inlineStr">
        <is>
          <t>-3240.8</t>
        </is>
      </c>
      <c r="D34" s="6" t="inlineStr">
        <is>
          <t>-2170.3</t>
        </is>
      </c>
      <c r="E34" s="6" t="inlineStr">
        <is>
          <t>93480</t>
        </is>
      </c>
      <c r="F34" s="6" t="inlineStr">
        <is>
          <t>-2020.63</t>
        </is>
      </c>
    </row>
    <row r="35">
      <c r="A35" s="15" t="inlineStr">
        <is>
          <t>agency</t>
        </is>
      </c>
      <c r="B35" s="16" t="inlineStr">
        <is>
          <t>Conventional</t>
        </is>
      </c>
      <c r="C35" s="16" t="inlineStr">
        <is>
          <t>Conventional</t>
        </is>
      </c>
      <c r="D35" s="16" t="inlineStr">
        <is>
          <t>Conventional</t>
        </is>
      </c>
      <c r="E35" s="16" t="inlineStr">
        <is>
          <t>VA</t>
        </is>
      </c>
      <c r="F35" s="16" t="inlineStr">
        <is>
          <t>VA</t>
        </is>
      </c>
    </row>
    <row r="36">
      <c r="A36" s="15" t="inlineStr">
        <is>
          <t>purpose</t>
        </is>
      </c>
      <c r="B36" s="6" t="inlineStr">
        <is>
          <t>Purchase</t>
        </is>
      </c>
      <c r="C36" s="6" t="inlineStr">
        <is>
          <t>Purchase</t>
        </is>
      </c>
      <c r="D36" s="6" t="inlineStr">
        <is>
          <t>Purchase</t>
        </is>
      </c>
      <c r="E36" s="6" t="inlineStr">
        <is>
          <t>Refinance-Cash</t>
        </is>
      </c>
      <c r="F36" s="6" t="inlineStr">
        <is>
          <t>Refinance-Cash</t>
        </is>
      </c>
    </row>
    <row r="37">
      <c r="A37" s="15" t="inlineStr">
        <is>
          <t>proptype</t>
        </is>
      </c>
      <c r="B37" s="16" t="inlineStr">
        <is>
          <t>SingleFamilyDetached</t>
        </is>
      </c>
      <c r="C37" s="16" t="inlineStr">
        <is>
          <t>SingleFamilyDetached</t>
        </is>
      </c>
      <c r="D37" s="16" t="inlineStr">
        <is>
          <t>PUD</t>
        </is>
      </c>
      <c r="E37" s="16" t="inlineStr">
        <is>
          <t>SingleFamilyDetached</t>
        </is>
      </c>
      <c r="F37" s="16" t="inlineStr">
        <is>
          <t>SingleFamilyDetached</t>
        </is>
      </c>
    </row>
    <row r="38">
      <c r="A38" s="15" t="inlineStr">
        <is>
          <t>occupancy</t>
        </is>
      </c>
      <c r="B38" s="6" t="inlineStr">
        <is>
          <t>Vacant</t>
        </is>
      </c>
      <c r="C38" s="6" t="inlineStr">
        <is>
          <t>Owner Occupied</t>
        </is>
      </c>
      <c r="D38" s="6" t="inlineStr">
        <is>
          <t>Owner Occupied</t>
        </is>
      </c>
      <c r="E38" s="6" t="inlineStr">
        <is>
          <t>Vacant</t>
        </is>
      </c>
      <c r="F38" s="6" t="inlineStr">
        <is>
          <t>Owner Occupied</t>
        </is>
      </c>
    </row>
    <row r="39">
      <c r="A39" s="15" t="inlineStr">
        <is>
          <t>doctype</t>
        </is>
      </c>
      <c r="B39" s="16" t="inlineStr">
        <is>
          <t>Full</t>
        </is>
      </c>
      <c r="C39" s="16" t="inlineStr">
        <is>
          <t>Full</t>
        </is>
      </c>
      <c r="D39" s="16" t="inlineStr">
        <is>
          <t>Full</t>
        </is>
      </c>
      <c r="E39" s="16" t="inlineStr">
        <is>
          <t>Full</t>
        </is>
      </c>
      <c r="F39" s="16" t="inlineStr">
        <is>
          <t>Full</t>
        </is>
      </c>
    </row>
    <row r="40">
      <c r="A40" s="15" t="inlineStr">
        <is>
          <t>zipcode</t>
        </is>
      </c>
      <c r="B40" s="6" t="inlineStr">
        <is>
          <t>32137</t>
        </is>
      </c>
      <c r="C40" s="6" t="inlineStr">
        <is>
          <t>49760</t>
        </is>
      </c>
      <c r="D40" s="6" t="inlineStr">
        <is>
          <t>60045</t>
        </is>
      </c>
      <c r="E40" s="6" t="inlineStr">
        <is>
          <t>34953</t>
        </is>
      </c>
      <c r="F40" s="6" t="inlineStr">
        <is>
          <t>32615</t>
        </is>
      </c>
    </row>
    <row r="41">
      <c r="A41" s="15" t="inlineStr">
        <is>
          <t>propaddress</t>
        </is>
      </c>
      <c r="B41" s="16" t="inlineStr">
        <is>
          <t>21 LK CHARLES LN</t>
        </is>
      </c>
      <c r="C41" s="16" t="inlineStr">
        <is>
          <t>W 3120 SCHLOSSER RD</t>
        </is>
      </c>
      <c r="D41" s="16" t="inlineStr">
        <is>
          <t>13977 W EMMA LN</t>
        </is>
      </c>
      <c r="E41" s="16" t="inlineStr">
        <is>
          <t>2331 SW FREEMAN ST</t>
        </is>
      </c>
      <c r="F41" s="16" t="inlineStr">
        <is>
          <t>19801 OLD BELLAMY RD</t>
        </is>
      </c>
    </row>
    <row r="42">
      <c r="A42" s="15" t="inlineStr">
        <is>
          <t>city</t>
        </is>
      </c>
      <c r="B42" s="6" t="inlineStr">
        <is>
          <t>PALM COAST</t>
        </is>
      </c>
      <c r="C42" s="6" t="inlineStr">
        <is>
          <t>MORAN</t>
        </is>
      </c>
      <c r="D42" s="6" t="inlineStr">
        <is>
          <t>METTAWA</t>
        </is>
      </c>
      <c r="E42" s="6" t="inlineStr">
        <is>
          <t>PORT SAINT LUCIE</t>
        </is>
      </c>
      <c r="F42" s="6" t="inlineStr">
        <is>
          <t>ALACHUA</t>
        </is>
      </c>
    </row>
    <row r="43">
      <c r="A43" s="15" t="inlineStr">
        <is>
          <t>state</t>
        </is>
      </c>
      <c r="B43" s="16" t="inlineStr">
        <is>
          <t>FL</t>
        </is>
      </c>
      <c r="C43" s="16" t="inlineStr">
        <is>
          <t>MI</t>
        </is>
      </c>
      <c r="D43" s="16" t="inlineStr">
        <is>
          <t>IL</t>
        </is>
      </c>
      <c r="E43" s="16" t="inlineStr">
        <is>
          <t>FL</t>
        </is>
      </c>
      <c r="F43" s="16" t="inlineStr">
        <is>
          <t>FL</t>
        </is>
      </c>
    </row>
    <row r="44">
      <c r="A44" s="15" t="inlineStr">
        <is>
          <t>modi</t>
        </is>
      </c>
      <c r="B44" s="6" t="inlineStr">
        <is>
          <t>N</t>
        </is>
      </c>
      <c r="C44" s="6" t="inlineStr">
        <is>
          <t>N</t>
        </is>
      </c>
      <c r="D44" s="6" t="inlineStr">
        <is>
          <t>N</t>
        </is>
      </c>
      <c r="E44" s="6" t="inlineStr">
        <is>
          <t>N</t>
        </is>
      </c>
      <c r="F44" s="6" t="inlineStr">
        <is>
          <t>N</t>
        </is>
      </c>
    </row>
    <row r="45">
      <c r="A45" s="15" t="inlineStr">
        <is>
          <t>moditype</t>
        </is>
      </c>
      <c r="B45" s="16" t="inlineStr">
        <is>
          <t>—</t>
        </is>
      </c>
      <c r="C45" s="16" t="inlineStr">
        <is>
          <t>—</t>
        </is>
      </c>
      <c r="D45" s="16" t="inlineStr">
        <is>
          <t>—</t>
        </is>
      </c>
      <c r="E45" s="16" t="inlineStr">
        <is>
          <t>—</t>
        </is>
      </c>
      <c r="F45" s="16" t="inlineStr">
        <is>
          <t>—</t>
        </is>
      </c>
    </row>
    <row r="46">
      <c r="A46" s="15" t="inlineStr">
        <is>
          <t>modidate</t>
        </is>
      </c>
      <c r="B46" s="6" t="inlineStr">
        <is>
          <t>—</t>
        </is>
      </c>
      <c r="C46" s="6" t="inlineStr">
        <is>
          <t>—</t>
        </is>
      </c>
      <c r="D46" s="6" t="inlineStr">
        <is>
          <t>2021-09-23</t>
        </is>
      </c>
      <c r="E46" s="6" t="inlineStr">
        <is>
          <t>—</t>
        </is>
      </c>
      <c r="F46" s="6" t="inlineStr">
        <is>
          <t>—</t>
        </is>
      </c>
    </row>
    <row r="47">
      <c r="A47" s="15" t="inlineStr">
        <is>
          <t>origdate</t>
        </is>
      </c>
      <c r="B47" s="16" t="inlineStr">
        <is>
          <t>—</t>
        </is>
      </c>
      <c r="C47" s="16" t="inlineStr">
        <is>
          <t>—</t>
        </is>
      </c>
      <c r="D47" s="16" t="inlineStr">
        <is>
          <t>—</t>
        </is>
      </c>
      <c r="E47" s="16" t="inlineStr">
        <is>
          <t>—</t>
        </is>
      </c>
      <c r="F47" s="16" t="inlineStr">
        <is>
          <t>—</t>
        </is>
      </c>
    </row>
    <row r="48">
      <c r="A48" s="15" t="inlineStr">
        <is>
          <t>origmaturitydate</t>
        </is>
      </c>
      <c r="B48" s="6" t="inlineStr">
        <is>
          <t>2052-10-01</t>
        </is>
      </c>
      <c r="C48" s="6" t="inlineStr">
        <is>
          <t>2052-10-01</t>
        </is>
      </c>
      <c r="D48" s="6" t="inlineStr">
        <is>
          <t>2047-06-01</t>
        </is>
      </c>
      <c r="E48" s="6" t="inlineStr">
        <is>
          <t>2052-06-01</t>
        </is>
      </c>
      <c r="F48" s="6" t="inlineStr">
        <is>
          <t>2052-03-01</t>
        </is>
      </c>
    </row>
    <row r="49">
      <c r="A49" s="15" t="inlineStr">
        <is>
          <t>maturitydate_</t>
        </is>
      </c>
      <c r="B49" s="16" t="inlineStr">
        <is>
          <t>2052-10-01</t>
        </is>
      </c>
      <c r="C49" s="16" t="inlineStr">
        <is>
          <t>2052-10-01</t>
        </is>
      </c>
      <c r="D49" s="16" t="inlineStr">
        <is>
          <t>2047-06-01</t>
        </is>
      </c>
      <c r="E49" s="16" t="inlineStr">
        <is>
          <t>2052-06-01</t>
        </is>
      </c>
      <c r="F49" s="16" t="inlineStr">
        <is>
          <t>2052-03-01</t>
        </is>
      </c>
    </row>
    <row r="50">
      <c r="A50" s="15" t="inlineStr">
        <is>
          <t>svcremterm</t>
        </is>
      </c>
      <c r="B50" s="6" t="inlineStr">
        <is>
          <t>334</t>
        </is>
      </c>
      <c r="C50" s="6" t="inlineStr">
        <is>
          <t>321</t>
        </is>
      </c>
      <c r="D50" s="6" t="inlineStr">
        <is>
          <t>0</t>
        </is>
      </c>
      <c r="E50" s="6" t="inlineStr">
        <is>
          <t>340</t>
        </is>
      </c>
      <c r="F50" s="6" t="inlineStr">
        <is>
          <t>312</t>
        </is>
      </c>
    </row>
    <row r="51">
      <c r="A51" s="15" t="inlineStr">
        <is>
          <t>firstpaymentdate</t>
        </is>
      </c>
      <c r="B51" s="16" t="inlineStr">
        <is>
          <t>2022-11-01</t>
        </is>
      </c>
      <c r="C51" s="16" t="inlineStr">
        <is>
          <t>2022-11-01</t>
        </is>
      </c>
      <c r="D51" s="16" t="inlineStr">
        <is>
          <t>2017-07-01</t>
        </is>
      </c>
      <c r="E51" s="16" t="inlineStr">
        <is>
          <t>2022-07-01</t>
        </is>
      </c>
      <c r="F51" s="16" t="inlineStr">
        <is>
          <t>2022-04-01</t>
        </is>
      </c>
    </row>
    <row r="52">
      <c r="A52" s="15" t="inlineStr">
        <is>
          <t>paymthist</t>
        </is>
      </c>
      <c r="B52" s="6" t="inlineStr">
        <is>
          <t>000001100000010010012345555555555555</t>
        </is>
      </c>
      <c r="C52" s="6" t="inlineStr">
        <is>
          <t>XXXXXXX11222300000001233321112224455</t>
        </is>
      </c>
      <c r="D52" s="6" t="inlineStr">
        <is>
          <t>XXXXXXX01000000000122344445555555550</t>
        </is>
      </c>
      <c r="E52" s="6" t="inlineStr">
        <is>
          <t>XXXXXXX00123444444444555555554666666</t>
        </is>
      </c>
      <c r="F52" s="6" t="inlineStr">
        <is>
          <t>000123444444443434333333444444444444</t>
        </is>
      </c>
    </row>
    <row r="53">
      <c r="A53" s="15" t="inlineStr">
        <is>
          <t>origrate_daily</t>
        </is>
      </c>
      <c r="B53" s="16" t="inlineStr">
        <is>
          <t>—</t>
        </is>
      </c>
      <c r="C53" s="16" t="inlineStr">
        <is>
          <t>—</t>
        </is>
      </c>
      <c r="D53" s="16" t="inlineStr">
        <is>
          <t>—</t>
        </is>
      </c>
      <c r="E53" s="16" t="inlineStr">
        <is>
          <t>—</t>
        </is>
      </c>
      <c r="F53" s="16" t="inlineStr">
        <is>
          <t>—</t>
        </is>
      </c>
    </row>
    <row r="54">
      <c r="A54" s="15" t="inlineStr">
        <is>
          <t>fico</t>
        </is>
      </c>
      <c r="B54" s="6" t="inlineStr">
        <is>
          <t>—</t>
        </is>
      </c>
      <c r="C54" s="6" t="inlineStr">
        <is>
          <t>—</t>
        </is>
      </c>
      <c r="D54" s="6" t="inlineStr">
        <is>
          <t>—</t>
        </is>
      </c>
      <c r="E54" s="6" t="inlineStr">
        <is>
          <t>—</t>
        </is>
      </c>
      <c r="F54" s="6" t="inlineStr">
        <is>
          <t>—</t>
        </is>
      </c>
    </row>
    <row r="55">
      <c r="A55" s="15" t="inlineStr">
        <is>
          <t>currfico</t>
        </is>
      </c>
      <c r="B55" s="16" t="inlineStr">
        <is>
          <t>—</t>
        </is>
      </c>
      <c r="C55" s="16" t="inlineStr">
        <is>
          <t>—</t>
        </is>
      </c>
      <c r="D55" s="16" t="inlineStr">
        <is>
          <t>—</t>
        </is>
      </c>
      <c r="E55" s="16" t="inlineStr">
        <is>
          <t>—</t>
        </is>
      </c>
      <c r="F55" s="16" t="inlineStr">
        <is>
          <t>—</t>
        </is>
      </c>
    </row>
    <row r="56">
      <c r="A56" s="15" t="inlineStr">
        <is>
          <t>oltv</t>
        </is>
      </c>
      <c r="B56" s="6" t="inlineStr">
        <is>
          <t>0.9472</t>
        </is>
      </c>
      <c r="C56" s="6" t="inlineStr">
        <is>
          <t>0.8366</t>
        </is>
      </c>
      <c r="D56" s="6" t="inlineStr">
        <is>
          <t>0.9449</t>
        </is>
      </c>
      <c r="E56" s="6" t="inlineStr">
        <is>
          <t>0.9</t>
        </is>
      </c>
      <c r="F56" s="6" t="inlineStr">
        <is>
          <t>0.8687</t>
        </is>
      </c>
    </row>
    <row r="57">
      <c r="A57" s="15" t="inlineStr">
        <is>
          <t>origbpo</t>
        </is>
      </c>
      <c r="B57" s="16" t="inlineStr">
        <is>
          <t>343000</t>
        </is>
      </c>
      <c r="C57" s="16" t="inlineStr">
        <is>
          <t>508000</t>
        </is>
      </c>
      <c r="D57" s="16" t="inlineStr">
        <is>
          <t>563000</t>
        </is>
      </c>
      <c r="E57" s="16" t="inlineStr">
        <is>
          <t>538000</t>
        </is>
      </c>
      <c r="F57" s="16" t="inlineStr">
        <is>
          <t>325000</t>
        </is>
      </c>
    </row>
    <row r="58">
      <c r="A58" s="15" t="inlineStr">
        <is>
          <t>origbpodate</t>
        </is>
      </c>
      <c r="B58" s="6" t="inlineStr">
        <is>
          <t>2022-08-01</t>
        </is>
      </c>
      <c r="C58" s="6" t="inlineStr">
        <is>
          <t>2022-05-01</t>
        </is>
      </c>
      <c r="D58" s="6" t="inlineStr">
        <is>
          <t>—</t>
        </is>
      </c>
      <c r="E58" s="6" t="inlineStr">
        <is>
          <t>2022-05-01</t>
        </is>
      </c>
      <c r="F58" s="6" t="inlineStr">
        <is>
          <t>2022-02-01</t>
        </is>
      </c>
    </row>
    <row r="59">
      <c r="A59" s="15" t="inlineStr">
        <is>
          <t>bpo</t>
        </is>
      </c>
      <c r="B59" s="16" t="inlineStr">
        <is>
          <t>287753</t>
        </is>
      </c>
      <c r="C59" s="16" t="inlineStr">
        <is>
          <t>350000</t>
        </is>
      </c>
      <c r="D59" s="16" t="inlineStr">
        <is>
          <t>855000</t>
        </is>
      </c>
      <c r="E59" s="16" t="inlineStr">
        <is>
          <t>455900</t>
        </is>
      </c>
      <c r="F59" s="16" t="inlineStr">
        <is>
          <t>320750</t>
        </is>
      </c>
    </row>
    <row r="60">
      <c r="A60" s="15" t="inlineStr">
        <is>
          <t>bpodate</t>
        </is>
      </c>
      <c r="B60" s="6" t="inlineStr">
        <is>
          <t>2026-06-01</t>
        </is>
      </c>
      <c r="C60" s="6" t="inlineStr">
        <is>
          <t>2026-04-29</t>
        </is>
      </c>
      <c r="D60" s="6" t="inlineStr">
        <is>
          <t>2026-03-05</t>
        </is>
      </c>
      <c r="E60" s="6" t="inlineStr">
        <is>
          <t>2026-03-30</t>
        </is>
      </c>
      <c r="F60" s="6" t="inlineStr">
        <is>
          <t>2022-12-06</t>
        </is>
      </c>
    </row>
    <row r="61">
      <c r="A61" s="15" t="inlineStr">
        <is>
          <t>amorttype</t>
        </is>
      </c>
      <c r="B61" s="16" t="inlineStr">
        <is>
          <t>—</t>
        </is>
      </c>
      <c r="C61" s="16" t="inlineStr">
        <is>
          <t>—</t>
        </is>
      </c>
      <c r="D61" s="16" t="inlineStr">
        <is>
          <t>—</t>
        </is>
      </c>
      <c r="E61" s="16" t="inlineStr">
        <is>
          <t>—</t>
        </is>
      </c>
      <c r="F61" s="16" t="inlineStr">
        <is>
          <t>—</t>
        </is>
      </c>
    </row>
    <row r="62">
      <c r="A62" s="15" t="inlineStr">
        <is>
          <t>amortizeterm</t>
        </is>
      </c>
      <c r="B62" s="6" t="inlineStr">
        <is>
          <t>360</t>
        </is>
      </c>
      <c r="C62" s="6" t="inlineStr">
        <is>
          <t>360</t>
        </is>
      </c>
      <c r="D62" s="6" t="inlineStr">
        <is>
          <t>360</t>
        </is>
      </c>
      <c r="E62" s="6" t="inlineStr">
        <is>
          <t>360</t>
        </is>
      </c>
      <c r="F62" s="6" t="inlineStr">
        <is>
          <t>360</t>
        </is>
      </c>
    </row>
    <row r="63">
      <c r="A63" s="15" t="inlineStr">
        <is>
          <t>forbearance</t>
        </is>
      </c>
      <c r="B63" s="16" t="inlineStr">
        <is>
          <t>—</t>
        </is>
      </c>
      <c r="C63" s="16" t="inlineStr">
        <is>
          <t>—</t>
        </is>
      </c>
      <c r="D63" s="16" t="inlineStr">
        <is>
          <t>4.0</t>
        </is>
      </c>
      <c r="E63" s="16" t="inlineStr">
        <is>
          <t>—</t>
        </is>
      </c>
      <c r="F63" s="16" t="inlineStr">
        <is>
          <t>—</t>
        </is>
      </c>
    </row>
    <row r="64">
      <c r="A64" s="15" t="inlineStr">
        <is>
          <t>lien</t>
        </is>
      </c>
      <c r="B64" s="6" t="inlineStr">
        <is>
          <t>1</t>
        </is>
      </c>
      <c r="C64" s="6" t="inlineStr">
        <is>
          <t>1</t>
        </is>
      </c>
      <c r="D64" s="6" t="inlineStr">
        <is>
          <t>1</t>
        </is>
      </c>
      <c r="E64" s="6" t="inlineStr">
        <is>
          <t>1</t>
        </is>
      </c>
      <c r="F64" s="6" t="inlineStr">
        <is>
          <t>1</t>
        </is>
      </c>
    </row>
    <row r="65">
      <c r="A65" s="15" t="inlineStr">
        <is>
          <t>balloon</t>
        </is>
      </c>
      <c r="B65" s="16" t="inlineStr">
        <is>
          <t>0</t>
        </is>
      </c>
      <c r="C65" s="16" t="inlineStr">
        <is>
          <t>0</t>
        </is>
      </c>
      <c r="D65" s="16" t="inlineStr">
        <is>
          <t>0</t>
        </is>
      </c>
      <c r="E65" s="16" t="inlineStr">
        <is>
          <t>0</t>
        </is>
      </c>
      <c r="F65" s="16" t="inlineStr">
        <is>
          <t>0</t>
        </is>
      </c>
    </row>
    <row r="66">
      <c r="A66" s="15" t="inlineStr">
        <is>
          <t>pmiflag</t>
        </is>
      </c>
      <c r="B66" s="6" t="inlineStr">
        <is>
          <t>1</t>
        </is>
      </c>
      <c r="C66" s="6" t="inlineStr">
        <is>
          <t>0</t>
        </is>
      </c>
      <c r="D66" s="6" t="inlineStr">
        <is>
          <t>0</t>
        </is>
      </c>
      <c r="E66" s="6" t="inlineStr">
        <is>
          <t>0</t>
        </is>
      </c>
      <c r="F66" s="6" t="inlineStr">
        <is>
          <t>0</t>
        </is>
      </c>
    </row>
    <row r="67">
      <c r="A67" s="15" t="inlineStr">
        <is>
          <t>mitype</t>
        </is>
      </c>
      <c r="B67" s="16" t="inlineStr">
        <is>
          <t>100.0</t>
        </is>
      </c>
      <c r="C67" s="16" t="inlineStr">
        <is>
          <t>—</t>
        </is>
      </c>
      <c r="D67" s="16" t="inlineStr">
        <is>
          <t>100.0</t>
        </is>
      </c>
      <c r="E67" s="16" t="inlineStr">
        <is>
          <t>—</t>
        </is>
      </c>
      <c r="F67" s="16" t="inlineStr">
        <is>
          <t>—</t>
        </is>
      </c>
    </row>
    <row r="68">
      <c r="A68" s="15" t="inlineStr">
        <is>
          <t>pmilevel</t>
        </is>
      </c>
      <c r="B68" s="6" t="inlineStr">
        <is>
          <t>0.3</t>
        </is>
      </c>
      <c r="C68" s="6" t="inlineStr">
        <is>
          <t>0</t>
        </is>
      </c>
      <c r="D68" s="6" t="inlineStr">
        <is>
          <t>0.3</t>
        </is>
      </c>
      <c r="E68" s="6" t="inlineStr">
        <is>
          <t>0</t>
        </is>
      </c>
      <c r="F68" s="6" t="inlineStr">
        <is>
          <t>0</t>
        </is>
      </c>
    </row>
    <row r="69">
      <c r="A69" s="15" t="inlineStr">
        <is>
          <t>indextype</t>
        </is>
      </c>
      <c r="B69" s="16" t="inlineStr">
        <is>
          <t>—</t>
        </is>
      </c>
      <c r="C69" s="16" t="inlineStr">
        <is>
          <t>—</t>
        </is>
      </c>
      <c r="D69" s="16" t="inlineStr">
        <is>
          <t>—</t>
        </is>
      </c>
      <c r="E69" s="16" t="inlineStr">
        <is>
          <t>—</t>
        </is>
      </c>
      <c r="F69" s="16" t="inlineStr">
        <is>
          <t>—</t>
        </is>
      </c>
    </row>
    <row r="70">
      <c r="A70" s="15" t="inlineStr">
        <is>
          <t>margin</t>
        </is>
      </c>
      <c r="B70" s="6" t="inlineStr">
        <is>
          <t>—</t>
        </is>
      </c>
      <c r="C70" s="6" t="inlineStr">
        <is>
          <t>—</t>
        </is>
      </c>
      <c r="D70" s="6" t="inlineStr">
        <is>
          <t>0.0275</t>
        </is>
      </c>
      <c r="E70" s="6" t="inlineStr">
        <is>
          <t>—</t>
        </is>
      </c>
      <c r="F70" s="6" t="inlineStr">
        <is>
          <t>—</t>
        </is>
      </c>
    </row>
    <row r="71">
      <c r="A71" s="15" t="inlineStr">
        <is>
          <t>liferatefloor</t>
        </is>
      </c>
      <c r="B71" s="16" t="inlineStr">
        <is>
          <t>—</t>
        </is>
      </c>
      <c r="C71" s="16" t="inlineStr">
        <is>
          <t>—</t>
        </is>
      </c>
      <c r="D71" s="16" t="inlineStr">
        <is>
          <t>0.0275</t>
        </is>
      </c>
      <c r="E71" s="16" t="inlineStr">
        <is>
          <t>—</t>
        </is>
      </c>
      <c r="F71" s="16" t="inlineStr">
        <is>
          <t>—</t>
        </is>
      </c>
    </row>
    <row r="72">
      <c r="A72" s="15" t="inlineStr">
        <is>
          <t>liferatecap</t>
        </is>
      </c>
      <c r="B72" s="6" t="inlineStr">
        <is>
          <t>—</t>
        </is>
      </c>
      <c r="C72" s="6" t="inlineStr">
        <is>
          <t>—</t>
        </is>
      </c>
      <c r="D72" s="6" t="inlineStr">
        <is>
          <t>—</t>
        </is>
      </c>
      <c r="E72" s="6" t="inlineStr">
        <is>
          <t>—</t>
        </is>
      </c>
      <c r="F72" s="6" t="inlineStr">
        <is>
          <t>—</t>
        </is>
      </c>
    </row>
    <row r="73">
      <c r="A73" s="15" t="inlineStr">
        <is>
          <t>lifechgfloor</t>
        </is>
      </c>
      <c r="B73" s="16" t="inlineStr">
        <is>
          <t>—</t>
        </is>
      </c>
      <c r="C73" s="16" t="inlineStr">
        <is>
          <t>—</t>
        </is>
      </c>
      <c r="D73" s="16" t="inlineStr">
        <is>
          <t>—</t>
        </is>
      </c>
      <c r="E73" s="16" t="inlineStr">
        <is>
          <t>—</t>
        </is>
      </c>
      <c r="F73" s="16" t="inlineStr">
        <is>
          <t>—</t>
        </is>
      </c>
    </row>
    <row r="74">
      <c r="A74" s="15" t="inlineStr">
        <is>
          <t>lifechgcap</t>
        </is>
      </c>
      <c r="B74" s="6" t="inlineStr">
        <is>
          <t>—</t>
        </is>
      </c>
      <c r="C74" s="6" t="inlineStr">
        <is>
          <t>—</t>
        </is>
      </c>
      <c r="D74" s="6" t="inlineStr">
        <is>
          <t>—</t>
        </is>
      </c>
      <c r="E74" s="6" t="inlineStr">
        <is>
          <t>—</t>
        </is>
      </c>
      <c r="F74" s="6" t="inlineStr">
        <is>
          <t>—</t>
        </is>
      </c>
    </row>
    <row r="75">
      <c r="A75" s="15" t="inlineStr">
        <is>
          <t>firstcap</t>
        </is>
      </c>
      <c r="B75" s="16" t="inlineStr">
        <is>
          <t>—</t>
        </is>
      </c>
      <c r="C75" s="16" t="inlineStr">
        <is>
          <t>—</t>
        </is>
      </c>
      <c r="D75" s="16" t="inlineStr">
        <is>
          <t>0</t>
        </is>
      </c>
      <c r="E75" s="16" t="inlineStr">
        <is>
          <t>—</t>
        </is>
      </c>
      <c r="F75" s="16" t="inlineStr">
        <is>
          <t>—</t>
        </is>
      </c>
    </row>
    <row r="76">
      <c r="A76" s="15" t="inlineStr">
        <is>
          <t>periodiccap</t>
        </is>
      </c>
      <c r="B76" s="6" t="inlineStr">
        <is>
          <t>—</t>
        </is>
      </c>
      <c r="C76" s="6" t="inlineStr">
        <is>
          <t>—</t>
        </is>
      </c>
      <c r="D76" s="6" t="inlineStr">
        <is>
          <t>—</t>
        </is>
      </c>
      <c r="E76" s="6" t="inlineStr">
        <is>
          <t>—</t>
        </is>
      </c>
      <c r="F76" s="6" t="inlineStr">
        <is>
          <t>—</t>
        </is>
      </c>
    </row>
    <row r="77">
      <c r="A77" s="15" t="inlineStr">
        <is>
          <t>monthtofirstreset</t>
        </is>
      </c>
      <c r="B77" s="16" t="inlineStr">
        <is>
          <t>—</t>
        </is>
      </c>
      <c r="C77" s="16" t="inlineStr">
        <is>
          <t>—</t>
        </is>
      </c>
      <c r="D77" s="16" t="inlineStr">
        <is>
          <t>—</t>
        </is>
      </c>
      <c r="E77" s="16" t="inlineStr">
        <is>
          <t>—</t>
        </is>
      </c>
      <c r="F77" s="16" t="inlineStr">
        <is>
          <t>—</t>
        </is>
      </c>
    </row>
    <row r="78">
      <c r="A78" s="15" t="inlineStr">
        <is>
          <t>firstresetdate</t>
        </is>
      </c>
      <c r="B78" s="6" t="inlineStr">
        <is>
          <t>—</t>
        </is>
      </c>
      <c r="C78" s="6" t="inlineStr">
        <is>
          <t>—</t>
        </is>
      </c>
      <c r="D78" s="6" t="inlineStr">
        <is>
          <t>—</t>
        </is>
      </c>
      <c r="E78" s="6" t="inlineStr">
        <is>
          <t>—</t>
        </is>
      </c>
      <c r="F78" s="6" t="inlineStr">
        <is>
          <t>—</t>
        </is>
      </c>
    </row>
    <row r="79">
      <c r="A79" s="15" t="inlineStr">
        <is>
          <t>prepaypenalty</t>
        </is>
      </c>
      <c r="B79" s="16" t="inlineStr">
        <is>
          <t>0</t>
        </is>
      </c>
      <c r="C79" s="16" t="inlineStr">
        <is>
          <t>0</t>
        </is>
      </c>
      <c r="D79" s="16" t="inlineStr">
        <is>
          <t>0</t>
        </is>
      </c>
      <c r="E79" s="16" t="inlineStr">
        <is>
          <t>0</t>
        </is>
      </c>
      <c r="F79" s="16" t="inlineStr">
        <is>
          <t>0</t>
        </is>
      </c>
    </row>
    <row r="80">
      <c r="A80" s="15" t="inlineStr">
        <is>
          <t>prepaypenaltyterm</t>
        </is>
      </c>
      <c r="B80" s="6" t="inlineStr">
        <is>
          <t>0</t>
        </is>
      </c>
      <c r="C80" s="6" t="inlineStr">
        <is>
          <t>0</t>
        </is>
      </c>
      <c r="D80" s="6" t="inlineStr">
        <is>
          <t>0</t>
        </is>
      </c>
      <c r="E80" s="6" t="inlineStr">
        <is>
          <t>0</t>
        </is>
      </c>
      <c r="F80" s="6" t="inlineStr">
        <is>
          <t>0</t>
        </is>
      </c>
    </row>
    <row r="81">
      <c r="A81" s="15" t="inlineStr">
        <is>
          <t>io</t>
        </is>
      </c>
      <c r="B81" s="16" t="inlineStr">
        <is>
          <t>0</t>
        </is>
      </c>
      <c r="C81" s="16" t="inlineStr">
        <is>
          <t>0</t>
        </is>
      </c>
      <c r="D81" s="16" t="inlineStr">
        <is>
          <t>0</t>
        </is>
      </c>
      <c r="E81" s="16" t="inlineStr">
        <is>
          <t>0</t>
        </is>
      </c>
      <c r="F81" s="16" t="inlineStr">
        <is>
          <t>0</t>
        </is>
      </c>
    </row>
    <row r="82">
      <c r="A82" s="15" t="inlineStr">
        <is>
          <t>iomonth</t>
        </is>
      </c>
      <c r="B82" s="6" t="inlineStr">
        <is>
          <t>0</t>
        </is>
      </c>
      <c r="C82" s="6" t="inlineStr">
        <is>
          <t>0</t>
        </is>
      </c>
      <c r="D82" s="6" t="inlineStr">
        <is>
          <t>0</t>
        </is>
      </c>
      <c r="E82" s="6" t="inlineStr">
        <is>
          <t>0</t>
        </is>
      </c>
      <c r="F82" s="6" t="inlineStr">
        <is>
          <t>0</t>
        </is>
      </c>
    </row>
    <row r="83">
      <c r="A83" s="15" t="inlineStr">
        <is>
          <t>tiamount</t>
        </is>
      </c>
      <c r="B83" s="16" t="inlineStr">
        <is>
          <t>786.1</t>
        </is>
      </c>
      <c r="C83" s="16" t="inlineStr">
        <is>
          <t>1111.95</t>
        </is>
      </c>
      <c r="D83" s="16" t="inlineStr">
        <is>
          <t>1990.72</t>
        </is>
      </c>
      <c r="E83" s="16" t="inlineStr">
        <is>
          <t>438.01</t>
        </is>
      </c>
      <c r="F83" s="16" t="inlineStr">
        <is>
          <t>904.41</t>
        </is>
      </c>
    </row>
    <row r="84">
      <c r="A84" s="15" t="inlineStr">
        <is>
          <t>piti</t>
        </is>
      </c>
      <c r="B84" s="6" t="inlineStr">
        <is>
          <t>2866.47</t>
        </is>
      </c>
      <c r="C84" s="6" t="inlineStr">
        <is>
          <t>4802.43</t>
        </is>
      </c>
      <c r="D84" s="6" t="inlineStr">
        <is>
          <t>4186.05</t>
        </is>
      </c>
      <c r="E84" s="6" t="inlineStr">
        <is>
          <t>2819.98</t>
        </is>
      </c>
      <c r="F84" s="6" t="inlineStr">
        <is>
          <t>2192</t>
        </is>
      </c>
    </row>
    <row r="85">
      <c r="A85" s="15" t="inlineStr">
        <is>
          <t>fcl_flag</t>
        </is>
      </c>
      <c r="B85" s="16" t="inlineStr">
        <is>
          <t>—</t>
        </is>
      </c>
      <c r="C85" s="16" t="inlineStr">
        <is>
          <t>—</t>
        </is>
      </c>
      <c r="D85" s="16" t="inlineStr">
        <is>
          <t>—</t>
        </is>
      </c>
      <c r="E85" s="16" t="inlineStr">
        <is>
          <t>—</t>
        </is>
      </c>
      <c r="F85" s="16" t="inlineStr">
        <is>
          <t>—</t>
        </is>
      </c>
    </row>
    <row r="86">
      <c r="A86" s="15" t="inlineStr">
        <is>
          <t>lm_flag</t>
        </is>
      </c>
      <c r="B86" s="6" t="inlineStr">
        <is>
          <t>N</t>
        </is>
      </c>
      <c r="C86" s="6" t="inlineStr">
        <is>
          <t>Y</t>
        </is>
      </c>
      <c r="D86" s="6" t="inlineStr">
        <is>
          <t>N</t>
        </is>
      </c>
      <c r="E86" s="6" t="inlineStr">
        <is>
          <t>N</t>
        </is>
      </c>
      <c r="F86" s="6" t="inlineStr">
        <is>
          <t>N</t>
        </is>
      </c>
    </row>
    <row r="87">
      <c r="A87" s="15" t="inlineStr">
        <is>
          <t>lastcontactdate</t>
        </is>
      </c>
      <c r="B87" s="16" t="inlineStr">
        <is>
          <t>2026-04-28</t>
        </is>
      </c>
      <c r="C87" s="16" t="inlineStr">
        <is>
          <t>2026-04-20</t>
        </is>
      </c>
      <c r="D87" s="16" t="inlineStr">
        <is>
          <t>2026-02-27</t>
        </is>
      </c>
      <c r="E87" s="16" t="inlineStr">
        <is>
          <t>—</t>
        </is>
      </c>
      <c r="F87" s="16" t="inlineStr">
        <is>
          <t>2026-05-05</t>
        </is>
      </c>
    </row>
    <row r="88">
      <c r="A88" s="15" t="inlineStr">
        <is>
          <t>reasonfordefault</t>
        </is>
      </c>
      <c r="B88" s="6" t="inlineStr">
        <is>
          <t>Reduction in Borrower's Income</t>
        </is>
      </c>
      <c r="C88" s="6" t="inlineStr">
        <is>
          <t>—</t>
        </is>
      </c>
      <c r="D88" s="6" t="inlineStr">
        <is>
          <t>—</t>
        </is>
      </c>
      <c r="E88" s="6" t="inlineStr">
        <is>
          <t>Unable to Contact Borrower</t>
        </is>
      </c>
      <c r="F88" s="6" t="inlineStr">
        <is>
          <t>—</t>
        </is>
      </c>
    </row>
    <row r="89">
      <c r="A89" s="15" t="inlineStr">
        <is>
          <t>pmicanceldt</t>
        </is>
      </c>
      <c r="B89" s="16" t="inlineStr">
        <is>
          <t>—</t>
        </is>
      </c>
      <c r="C89" s="16" t="inlineStr">
        <is>
          <t>—</t>
        </is>
      </c>
      <c r="D89" s="16" t="inlineStr">
        <is>
          <t>2026-04-16</t>
        </is>
      </c>
      <c r="E89" s="16" t="inlineStr">
        <is>
          <t>—</t>
        </is>
      </c>
      <c r="F89" s="16" t="inlineStr">
        <is>
          <t>—</t>
        </is>
      </c>
    </row>
    <row r="90">
      <c r="A90" s="15" t="inlineStr">
        <is>
          <t>pmicancel</t>
        </is>
      </c>
      <c r="B90" s="6" t="inlineStr">
        <is>
          <t>—</t>
        </is>
      </c>
      <c r="C90" s="6" t="inlineStr">
        <is>
          <t>—</t>
        </is>
      </c>
      <c r="D90" s="6" t="inlineStr">
        <is>
          <t>Y</t>
        </is>
      </c>
      <c r="E90" s="6" t="inlineStr">
        <is>
          <t>—</t>
        </is>
      </c>
      <c r="F90" s="6" t="inlineStr">
        <is>
          <t>—</t>
        </is>
      </c>
    </row>
    <row r="91">
      <c r="A91" s="15" t="inlineStr">
        <is>
          <t>pmiexpirationdt</t>
        </is>
      </c>
      <c r="B91" s="16" t="inlineStr">
        <is>
          <t>2034-09-01</t>
        </is>
      </c>
      <c r="C91" s="16" t="inlineStr">
        <is>
          <t>—</t>
        </is>
      </c>
      <c r="D91" s="16" t="inlineStr">
        <is>
          <t>2025-09-01</t>
        </is>
      </c>
      <c r="E91" s="16" t="inlineStr">
        <is>
          <t>—</t>
        </is>
      </c>
      <c r="F91" s="16" t="inlineStr">
        <is>
          <t>—</t>
        </is>
      </c>
    </row>
    <row r="92">
      <c r="A92" s="15" t="inlineStr">
        <is>
          <t>balloondate</t>
        </is>
      </c>
      <c r="B92" s="6" t="inlineStr">
        <is>
          <t>—</t>
        </is>
      </c>
      <c r="C92" s="6" t="inlineStr">
        <is>
          <t>—</t>
        </is>
      </c>
      <c r="D92" s="6" t="inlineStr">
        <is>
          <t>—</t>
        </is>
      </c>
      <c r="E92" s="6" t="inlineStr">
        <is>
          <t>—</t>
        </is>
      </c>
      <c r="F92" s="6" t="inlineStr">
        <is>
          <t>—</t>
        </is>
      </c>
    </row>
    <row r="93">
      <c r="A93" s="15" t="inlineStr">
        <is>
          <t>balloonterm</t>
        </is>
      </c>
      <c r="B93" s="16" t="inlineStr">
        <is>
          <t>—</t>
        </is>
      </c>
      <c r="C93" s="16" t="inlineStr">
        <is>
          <t>—</t>
        </is>
      </c>
      <c r="D93" s="16" t="inlineStr">
        <is>
          <t>—</t>
        </is>
      </c>
      <c r="E93" s="16" t="inlineStr">
        <is>
          <t>—</t>
        </is>
      </c>
      <c r="F93" s="16" t="inlineStr">
        <is>
          <t>—</t>
        </is>
      </c>
    </row>
  </sheetData>
  <mergeCells count="14">
    <mergeCell ref="A2:F2"/>
    <mergeCell ref="A11:F11"/>
    <mergeCell ref="A10:F10"/>
    <mergeCell ref="A13:F13"/>
    <mergeCell ref="A14:F14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7" t="inlineStr">
        <is>
          <t>port.basic_data_daily_loan_common_clean — 逾期支线 L3 清洗日表（delinq / days360；每贷款最新 fctrdt）</t>
        </is>
      </c>
    </row>
    <row r="2">
      <c r="A2" s="13" t="inlineStr">
        <is>
          <t>全 103 字段 · 取数口径：fctrdt=MAX(每贷款) · 命中 5/5 贷款（无行的贷款列显示 —） · prod 实测 2026-06-04 · 业务日 2026-06-01</t>
        </is>
      </c>
    </row>
    <row r="3" ht="56" customHeight="1">
      <c r="A3" s="14" t="inlineStr">
        <is>
          <t>查询 SQL（prod 只读）：
-- port.basic_data_daily_loan_common_clean · redshift_prod(只读) · 每贷款 fctrdt=MAX(最新快照) · 业务日 2026-06-01
SELECT t.* FROM port.basic_data_daily_loan_common_clean t JOIN (SELECT loanid, MAX(fctrdt) AS _md FROM port.basic_data_daily_loan_common_clean WHERE loanid IN ('7727000088','7727000672','7727004200','7727000065','7727000010') GROUP BY loanid) m ON t.loanid=m.loanid AND t.fctrdt=m._md;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75" customHeight="1">
      <c r="A5" s="36" t="inlineStr">
        <is>
          <t>业务含义/目的：逾期支线 L3 清洗日表(103 列)——把 delq_status 经 CASE 归一成标准 delinq 码(C/D30/D60/D90/D120P/FCL/REO/P)，并用 days360(nextduedate,fctrdt) 分桶(fctrdt)。 标准逾期码的单一来源；喂 portmonthbase 与 FCL 业务族(stage 分组)。</t>
        </is>
      </c>
    </row>
    <row r="6" ht="18" customHeight="1">
      <c r="A6" s="36" t="inlineStr">
        <is>
          <t>何时来查：查‘标准化后的逾期码/天数桶口径’、核对 days360 计算。</t>
        </is>
      </c>
    </row>
    <row r="7" ht="60" customHeight="1">
      <c r="A7" s="36" t="inlineStr">
        <is>
          <t>为什么这样处理：业务要统一的 MBA 逾期码；文本状态(Foreclosure*/REO/Paid*)直接映射，其余按 days360 天数分桶。注意：FCL 码只来自 servicer 显式法拍状态，绝不由 days360 推导。</t>
        </is>
      </c>
    </row>
    <row r="8" ht="18" customHeight="1">
      <c r="A8" s="36" t="inlineStr">
        <is>
          <t>数据粒度：1 行/贷款/fctrdt。</t>
        </is>
      </c>
    </row>
    <row r="9" ht="60" customHeight="1">
      <c r="A9" s="36" t="inlineStr">
        <is>
          <t>上游链路：… → port.basic_data_daily_loan_common → port.basic_data_daily_loan_common_clean〔daily_data_loan_common_clean_config.py，CASE + days360〕</t>
        </is>
      </c>
    </row>
    <row r="10" ht="45" customHeight="1">
      <c r="A10" s="36" t="inlineStr">
        <is>
          <t>全部上游表：port.basic_data_daily_loan_common、port.portdaily_v2、newrez.portnewrezgeneral</t>
        </is>
      </c>
    </row>
    <row r="11" ht="90" customHeight="1">
      <c r="A11" s="36" t="inlineStr">
        <is>
          <t>下游链路：→ { port.portmonthbase / port.basic_data_fcl_related.delq_status / port.fcl_stage_info.group } → BPS。另：旁支 port.basic_data_loan_delinq_clean(含 is_ghost_payoff 等)实测存在，但其生成代码不在 PrefectFlow 仓库(grep 0 命中，开放问题)。</t>
        </is>
      </c>
    </row>
    <row r="12" ht="30" customHeight="1">
      <c r="A12" s="36" t="inlineStr">
        <is>
          <t>全部下游表：port.basic_data_fcl_related、port.fcl_stage_info、port.portmonthbase</t>
        </is>
      </c>
    </row>
    <row r="13" ht="30" customHeight="1">
      <c r="A13" s="36" t="inlineStr">
        <is>
          <t>备注：旁支 port.basic_data_loan_delinq_clean 生成代码不在仓库（grep 0 命中，开放问题），未列为确定下游。</t>
        </is>
      </c>
    </row>
    <row r="14" ht="18" customHeight="1">
      <c r="A14" s="37" t="inlineStr">
        <is>
          <t>▲ 以上为「业务含义与全链路血缘」说明块；下方为原始数据 ────</t>
        </is>
      </c>
    </row>
    <row r="15">
      <c r="A15" s="8" t="inlineStr">
        <is>
          <t>字段</t>
        </is>
      </c>
      <c r="B15" s="8" t="inlineStr">
        <is>
          <t>7727000088</t>
        </is>
      </c>
      <c r="C15" s="8" t="inlineStr">
        <is>
          <t>7727000672</t>
        </is>
      </c>
      <c r="D15" s="8" t="inlineStr">
        <is>
          <t>7727004200</t>
        </is>
      </c>
      <c r="E15" s="8" t="inlineStr">
        <is>
          <t>7727000065</t>
        </is>
      </c>
      <c r="F15" s="8" t="inlineStr">
        <is>
          <t>7727000010</t>
        </is>
      </c>
    </row>
    <row r="16">
      <c r="A16" s="15" t="inlineStr">
        <is>
          <t>fctrdt</t>
        </is>
      </c>
      <c r="B16" s="6" t="inlineStr">
        <is>
          <t>2026-07-01</t>
        </is>
      </c>
      <c r="C16" s="6" t="inlineStr">
        <is>
          <t>2026-07-01</t>
        </is>
      </c>
      <c r="D16" s="6" t="inlineStr">
        <is>
          <t>2026-07-01</t>
        </is>
      </c>
      <c r="E16" s="6" t="inlineStr">
        <is>
          <t>2026-07-01</t>
        </is>
      </c>
      <c r="F16" s="6" t="inlineStr">
        <is>
          <t>2026-07-01</t>
        </is>
      </c>
    </row>
    <row r="17">
      <c r="A17" s="15" t="inlineStr">
        <is>
          <t>dealid</t>
        </is>
      </c>
      <c r="B17" s="16" t="inlineStr">
        <is>
          <t>HMP002</t>
        </is>
      </c>
      <c r="C17" s="16" t="inlineStr">
        <is>
          <t>IMPAC001</t>
        </is>
      </c>
      <c r="D17" s="16" t="inlineStr">
        <is>
          <t>BOA002</t>
        </is>
      </c>
      <c r="E17" s="16" t="inlineStr">
        <is>
          <t>HMP002</t>
        </is>
      </c>
      <c r="F17" s="16" t="inlineStr">
        <is>
          <t>HMP002</t>
        </is>
      </c>
    </row>
    <row r="18">
      <c r="A18" s="15" t="inlineStr">
        <is>
          <t>fundingid</t>
        </is>
      </c>
      <c r="B18" s="6" t="inlineStr">
        <is>
          <t>HMP002</t>
        </is>
      </c>
      <c r="C18" s="6" t="inlineStr">
        <is>
          <t>IMPAC001</t>
        </is>
      </c>
      <c r="D18" s="6" t="inlineStr">
        <is>
          <t>BOA002</t>
        </is>
      </c>
      <c r="E18" s="6" t="inlineStr">
        <is>
          <t>HMP002</t>
        </is>
      </c>
      <c r="F18" s="6" t="inlineStr">
        <is>
          <t>HMP002</t>
        </is>
      </c>
    </row>
    <row r="19">
      <c r="A19" s="15" t="inlineStr">
        <is>
          <t>loanid</t>
        </is>
      </c>
      <c r="B19" s="16" t="inlineStr">
        <is>
          <t>7727000088</t>
        </is>
      </c>
      <c r="C19" s="16" t="inlineStr">
        <is>
          <t>7727000672</t>
        </is>
      </c>
      <c r="D19" s="16" t="inlineStr">
        <is>
          <t>7727004200</t>
        </is>
      </c>
      <c r="E19" s="16" t="inlineStr">
        <is>
          <t>7727000065</t>
        </is>
      </c>
      <c r="F19" s="16" t="inlineStr">
        <is>
          <t>7727000010</t>
        </is>
      </c>
    </row>
    <row r="20">
      <c r="A20" s="15" t="inlineStr">
        <is>
          <t>svcloanid</t>
        </is>
      </c>
      <c r="B20" s="6" t="inlineStr">
        <is>
          <t>1031718838</t>
        </is>
      </c>
      <c r="C20" s="6" t="inlineStr">
        <is>
          <t>1032761570</t>
        </is>
      </c>
      <c r="D20" s="6" t="inlineStr">
        <is>
          <t>0688132141</t>
        </is>
      </c>
      <c r="E20" s="6" t="inlineStr">
        <is>
          <t>1031718621</t>
        </is>
      </c>
      <c r="F20" s="6" t="inlineStr">
        <is>
          <t>1031718692</t>
        </is>
      </c>
    </row>
    <row r="21">
      <c r="A21" s="15" t="inlineStr">
        <is>
          <t>servicer</t>
        </is>
      </c>
      <c r="B21" s="16" t="inlineStr">
        <is>
          <t>Newrez</t>
        </is>
      </c>
      <c r="C21" s="16" t="inlineStr">
        <is>
          <t>Newrez</t>
        </is>
      </c>
      <c r="D21" s="16" t="inlineStr">
        <is>
          <t>Newrez</t>
        </is>
      </c>
      <c r="E21" s="16" t="inlineStr">
        <is>
          <t>Newrez</t>
        </is>
      </c>
      <c r="F21" s="16" t="inlineStr">
        <is>
          <t>Newrez</t>
        </is>
      </c>
    </row>
    <row r="22">
      <c r="A22" s="15" t="inlineStr">
        <is>
          <t>agency</t>
        </is>
      </c>
      <c r="B22" s="6" t="inlineStr">
        <is>
          <t>Conventional</t>
        </is>
      </c>
      <c r="C22" s="6" t="inlineStr">
        <is>
          <t>Conventional</t>
        </is>
      </c>
      <c r="D22" s="6" t="inlineStr">
        <is>
          <t>Conventional</t>
        </is>
      </c>
      <c r="E22" s="6" t="inlineStr">
        <is>
          <t>VA</t>
        </is>
      </c>
      <c r="F22" s="6" t="inlineStr">
        <is>
          <t>VA</t>
        </is>
      </c>
    </row>
    <row r="23">
      <c r="A23" s="15" t="inlineStr">
        <is>
          <t>channel</t>
        </is>
      </c>
      <c r="B23" s="16" t="inlineStr">
        <is>
          <t>broker</t>
        </is>
      </c>
      <c r="C23" s="16" t="inlineStr">
        <is>
          <t>broker</t>
        </is>
      </c>
      <c r="D23" s="16" t="inlineStr">
        <is>
          <t>retail</t>
        </is>
      </c>
      <c r="E23" s="16" t="inlineStr">
        <is>
          <t>broker</t>
        </is>
      </c>
      <c r="F23" s="16" t="inlineStr">
        <is>
          <t>retail</t>
        </is>
      </c>
    </row>
    <row r="24">
      <c r="A24" s="15" t="inlineStr">
        <is>
          <t>purpose</t>
        </is>
      </c>
      <c r="B24" s="6" t="inlineStr">
        <is>
          <t>Purchase</t>
        </is>
      </c>
      <c r="C24" s="6" t="inlineStr">
        <is>
          <t>Purchase</t>
        </is>
      </c>
      <c r="D24" s="6" t="inlineStr">
        <is>
          <t>Purchase</t>
        </is>
      </c>
      <c r="E24" s="6" t="inlineStr">
        <is>
          <t>Refinance-Cash</t>
        </is>
      </c>
      <c r="F24" s="6" t="inlineStr">
        <is>
          <t>Refinance-Cash</t>
        </is>
      </c>
    </row>
    <row r="25">
      <c r="A25" s="15" t="inlineStr">
        <is>
          <t>proptype</t>
        </is>
      </c>
      <c r="B25" s="16" t="inlineStr">
        <is>
          <t>SingleFamilyDetached</t>
        </is>
      </c>
      <c r="C25" s="16" t="inlineStr">
        <is>
          <t>SingleFamilyDetached</t>
        </is>
      </c>
      <c r="D25" s="16" t="inlineStr">
        <is>
          <t>PUD</t>
        </is>
      </c>
      <c r="E25" s="16" t="inlineStr">
        <is>
          <t>SingleFamilyDetached</t>
        </is>
      </c>
      <c r="F25" s="16" t="inlineStr">
        <is>
          <t>SingleFamilyDetached</t>
        </is>
      </c>
    </row>
    <row r="26">
      <c r="A26" s="15" t="inlineStr">
        <is>
          <t>occupancy</t>
        </is>
      </c>
      <c r="B26" s="6" t="inlineStr">
        <is>
          <t>Vacant</t>
        </is>
      </c>
      <c r="C26" s="6" t="inlineStr">
        <is>
          <t>Owner Occupied</t>
        </is>
      </c>
      <c r="D26" s="6" t="inlineStr">
        <is>
          <t>Owner Occupied</t>
        </is>
      </c>
      <c r="E26" s="6" t="inlineStr">
        <is>
          <t>Vacant</t>
        </is>
      </c>
      <c r="F26" s="6" t="inlineStr">
        <is>
          <t>Owner Occupied</t>
        </is>
      </c>
    </row>
    <row r="27">
      <c r="A27" s="15" t="inlineStr">
        <is>
          <t>doctype</t>
        </is>
      </c>
      <c r="B27" s="16" t="inlineStr">
        <is>
          <t>Full</t>
        </is>
      </c>
      <c r="C27" s="16" t="inlineStr">
        <is>
          <t>Full</t>
        </is>
      </c>
      <c r="D27" s="16" t="inlineStr">
        <is>
          <t>Full</t>
        </is>
      </c>
      <c r="E27" s="16" t="inlineStr">
        <is>
          <t>Full</t>
        </is>
      </c>
      <c r="F27" s="16" t="inlineStr">
        <is>
          <t>Full</t>
        </is>
      </c>
    </row>
    <row r="28">
      <c r="A28" s="15" t="inlineStr">
        <is>
          <t>zipcode</t>
        </is>
      </c>
      <c r="B28" s="6" t="inlineStr">
        <is>
          <t>32137</t>
        </is>
      </c>
      <c r="C28" s="6" t="inlineStr">
        <is>
          <t>49760</t>
        </is>
      </c>
      <c r="D28" s="6" t="inlineStr">
        <is>
          <t>60045</t>
        </is>
      </c>
      <c r="E28" s="6" t="inlineStr">
        <is>
          <t>34953</t>
        </is>
      </c>
      <c r="F28" s="6" t="inlineStr">
        <is>
          <t>32615</t>
        </is>
      </c>
    </row>
    <row r="29">
      <c r="A29" s="15" t="inlineStr">
        <is>
          <t>propaddress</t>
        </is>
      </c>
      <c r="B29" s="16" t="inlineStr">
        <is>
          <t>21 LK CHARLES LN</t>
        </is>
      </c>
      <c r="C29" s="16" t="inlineStr">
        <is>
          <t>W 3120 SCHLOSSER RD</t>
        </is>
      </c>
      <c r="D29" s="16" t="inlineStr">
        <is>
          <t>13977 W EMMA LN</t>
        </is>
      </c>
      <c r="E29" s="16" t="inlineStr">
        <is>
          <t>2331 SW FREEMAN ST</t>
        </is>
      </c>
      <c r="F29" s="16" t="inlineStr">
        <is>
          <t>19801 OLD BELLAMY RD</t>
        </is>
      </c>
    </row>
    <row r="30">
      <c r="A30" s="15" t="inlineStr">
        <is>
          <t>city</t>
        </is>
      </c>
      <c r="B30" s="6" t="inlineStr">
        <is>
          <t>PALM COAST</t>
        </is>
      </c>
      <c r="C30" s="6" t="inlineStr">
        <is>
          <t>MORAN</t>
        </is>
      </c>
      <c r="D30" s="6" t="inlineStr">
        <is>
          <t>METTAWA</t>
        </is>
      </c>
      <c r="E30" s="6" t="inlineStr">
        <is>
          <t>PORT SAINT LUCIE</t>
        </is>
      </c>
      <c r="F30" s="6" t="inlineStr">
        <is>
          <t>ALACHUA</t>
        </is>
      </c>
    </row>
    <row r="31">
      <c r="A31" s="15" t="inlineStr">
        <is>
          <t>state</t>
        </is>
      </c>
      <c r="B31" s="16" t="inlineStr">
        <is>
          <t>FL</t>
        </is>
      </c>
      <c r="C31" s="16" t="inlineStr">
        <is>
          <t>MI</t>
        </is>
      </c>
      <c r="D31" s="16" t="inlineStr">
        <is>
          <t>IL</t>
        </is>
      </c>
      <c r="E31" s="16" t="inlineStr">
        <is>
          <t>FL</t>
        </is>
      </c>
      <c r="F31" s="16" t="inlineStr">
        <is>
          <t>FL</t>
        </is>
      </c>
    </row>
    <row r="32">
      <c r="A32" s="15" t="inlineStr">
        <is>
          <t>msa</t>
        </is>
      </c>
      <c r="B32" s="6" t="inlineStr">
        <is>
          <t>Deltona-Daytona Beach-Ormond Beach, FL Metropolitan Statistical Area</t>
        </is>
      </c>
      <c r="C32" s="6" t="inlineStr">
        <is>
          <t>—</t>
        </is>
      </c>
      <c r="D32" s="6" t="inlineStr">
        <is>
          <t>Chicago-Naperville-Elgin, IL-IN-WI Metropolitan Statistical Area</t>
        </is>
      </c>
      <c r="E32" s="6" t="inlineStr">
        <is>
          <t>Port St. Lucie, FL Metropolitan Statistical Area</t>
        </is>
      </c>
      <c r="F32" s="6" t="inlineStr">
        <is>
          <t>Gainesville, FL Metropolitan Statistical Area</t>
        </is>
      </c>
    </row>
    <row r="33">
      <c r="A33" s="15" t="inlineStr">
        <is>
          <t>nextduedate</t>
        </is>
      </c>
      <c r="B33" s="16" t="inlineStr">
        <is>
          <t>2025-01-01</t>
        </is>
      </c>
      <c r="C33" s="16" t="inlineStr">
        <is>
          <t>2026-02-01</t>
        </is>
      </c>
      <c r="D33" s="16" t="inlineStr">
        <is>
          <t>2024-12-01</t>
        </is>
      </c>
      <c r="E33" s="16" t="inlineStr">
        <is>
          <t>2024-03-01</t>
        </is>
      </c>
      <c r="F33" s="16" t="inlineStr">
        <is>
          <t>2026-04-01</t>
        </is>
      </c>
    </row>
    <row r="34">
      <c r="A34" s="15" t="inlineStr">
        <is>
          <t>svcdelinq</t>
        </is>
      </c>
      <c r="B34" s="6" t="inlineStr">
        <is>
          <t>REO</t>
        </is>
      </c>
      <c r="C34" s="6" t="inlineStr">
        <is>
          <t>120-149 DPD</t>
        </is>
      </c>
      <c r="D34" s="6" t="inlineStr">
        <is>
          <t>Full Payoff</t>
        </is>
      </c>
      <c r="E34" s="6" t="inlineStr">
        <is>
          <t>REO</t>
        </is>
      </c>
      <c r="F34" s="6" t="inlineStr">
        <is>
          <t>Performing Bankruptcy</t>
        </is>
      </c>
    </row>
    <row r="35">
      <c r="A35" s="15" t="inlineStr">
        <is>
          <t>delinq</t>
        </is>
      </c>
      <c r="B35" s="16" t="inlineStr">
        <is>
          <t>REO</t>
        </is>
      </c>
      <c r="C35" s="16" t="inlineStr">
        <is>
          <t>D120P</t>
        </is>
      </c>
      <c r="D35" s="16" t="inlineStr">
        <is>
          <t>P</t>
        </is>
      </c>
      <c r="E35" s="16" t="inlineStr">
        <is>
          <t>REO</t>
        </is>
      </c>
      <c r="F35" s="16" t="inlineStr">
        <is>
          <t>D90</t>
        </is>
      </c>
    </row>
    <row r="36">
      <c r="A36" s="15" t="inlineStr">
        <is>
          <t>ots_delinq</t>
        </is>
      </c>
      <c r="B36" s="6" t="inlineStr">
        <is>
          <t>REO</t>
        </is>
      </c>
      <c r="C36" s="6" t="inlineStr">
        <is>
          <t>D120P</t>
        </is>
      </c>
      <c r="D36" s="6" t="inlineStr">
        <is>
          <t>P</t>
        </is>
      </c>
      <c r="E36" s="6" t="inlineStr">
        <is>
          <t>REO</t>
        </is>
      </c>
      <c r="F36" s="6" t="inlineStr">
        <is>
          <t>D60</t>
        </is>
      </c>
    </row>
    <row r="37">
      <c r="A37" s="15" t="inlineStr">
        <is>
          <t>monthindelinq</t>
        </is>
      </c>
      <c r="B37" s="16" t="inlineStr">
        <is>
          <t>18</t>
        </is>
      </c>
      <c r="C37" s="16" t="inlineStr">
        <is>
          <t>5</t>
        </is>
      </c>
      <c r="D37" s="16" t="inlineStr">
        <is>
          <t>19</t>
        </is>
      </c>
      <c r="E37" s="16" t="inlineStr">
        <is>
          <t>28</t>
        </is>
      </c>
      <c r="F37" s="16" t="inlineStr">
        <is>
          <t>3</t>
        </is>
      </c>
    </row>
    <row r="38">
      <c r="A38" s="15" t="inlineStr">
        <is>
          <t>bankruptcy</t>
        </is>
      </c>
      <c r="B38" s="6" t="inlineStr">
        <is>
          <t>N</t>
        </is>
      </c>
      <c r="C38" s="6" t="inlineStr">
        <is>
          <t>N</t>
        </is>
      </c>
      <c r="D38" s="6" t="inlineStr">
        <is>
          <t>N</t>
        </is>
      </c>
      <c r="E38" s="6" t="inlineStr">
        <is>
          <t>N</t>
        </is>
      </c>
      <c r="F38" s="6" t="inlineStr">
        <is>
          <t>Y</t>
        </is>
      </c>
    </row>
    <row r="39">
      <c r="A39" s="15" t="inlineStr">
        <is>
          <t>modi</t>
        </is>
      </c>
      <c r="B39" s="16" t="inlineStr">
        <is>
          <t>N</t>
        </is>
      </c>
      <c r="C39" s="16" t="inlineStr">
        <is>
          <t>N</t>
        </is>
      </c>
      <c r="D39" s="16" t="inlineStr">
        <is>
          <t>N</t>
        </is>
      </c>
      <c r="E39" s="16" t="inlineStr">
        <is>
          <t>N</t>
        </is>
      </c>
      <c r="F39" s="16" t="inlineStr">
        <is>
          <t>N</t>
        </is>
      </c>
    </row>
    <row r="40">
      <c r="A40" s="15" t="inlineStr">
        <is>
          <t>moditype</t>
        </is>
      </c>
      <c r="B40" s="6" t="inlineStr">
        <is>
          <t>—</t>
        </is>
      </c>
      <c r="C40" s="6" t="inlineStr">
        <is>
          <t>—</t>
        </is>
      </c>
      <c r="D40" s="6" t="inlineStr">
        <is>
          <t>—</t>
        </is>
      </c>
      <c r="E40" s="6" t="inlineStr">
        <is>
          <t>—</t>
        </is>
      </c>
      <c r="F40" s="6" t="inlineStr">
        <is>
          <t>—</t>
        </is>
      </c>
    </row>
    <row r="41">
      <c r="A41" s="15" t="inlineStr">
        <is>
          <t>modidate</t>
        </is>
      </c>
      <c r="B41" s="16" t="inlineStr">
        <is>
          <t>—</t>
        </is>
      </c>
      <c r="C41" s="16" t="inlineStr">
        <is>
          <t>—</t>
        </is>
      </c>
      <c r="D41" s="16" t="inlineStr">
        <is>
          <t>2021-09-23</t>
        </is>
      </c>
      <c r="E41" s="16" t="inlineStr">
        <is>
          <t>—</t>
        </is>
      </c>
      <c r="F41" s="16" t="inlineStr">
        <is>
          <t>—</t>
        </is>
      </c>
    </row>
    <row r="42">
      <c r="A42" s="15" t="inlineStr">
        <is>
          <t>origdate</t>
        </is>
      </c>
      <c r="B42" s="6" t="inlineStr">
        <is>
          <t>2022-08-08</t>
        </is>
      </c>
      <c r="C42" s="6" t="inlineStr">
        <is>
          <t>2022-09-15</t>
        </is>
      </c>
      <c r="D42" s="6" t="inlineStr">
        <is>
          <t>2017-05-16</t>
        </is>
      </c>
      <c r="E42" s="6" t="inlineStr">
        <is>
          <t>2022-04-26</t>
        </is>
      </c>
      <c r="F42" s="6" t="inlineStr">
        <is>
          <t>2022-01-13</t>
        </is>
      </c>
    </row>
    <row r="43">
      <c r="A43" s="15" t="inlineStr">
        <is>
          <t>origmaturitydate</t>
        </is>
      </c>
      <c r="B43" s="16" t="inlineStr">
        <is>
          <t>2052-10-01</t>
        </is>
      </c>
      <c r="C43" s="16" t="inlineStr">
        <is>
          <t>2052-10-01</t>
        </is>
      </c>
      <c r="D43" s="16" t="inlineStr">
        <is>
          <t>2047-06-01</t>
        </is>
      </c>
      <c r="E43" s="16" t="inlineStr">
        <is>
          <t>2052-06-01</t>
        </is>
      </c>
      <c r="F43" s="16" t="inlineStr">
        <is>
          <t>2052-03-01</t>
        </is>
      </c>
    </row>
    <row r="44">
      <c r="A44" s="15" t="inlineStr">
        <is>
          <t>maturitydate</t>
        </is>
      </c>
      <c r="B44" s="6" t="inlineStr">
        <is>
          <t>2052-10-01</t>
        </is>
      </c>
      <c r="C44" s="6" t="inlineStr">
        <is>
          <t>2052-10-01</t>
        </is>
      </c>
      <c r="D44" s="6" t="inlineStr">
        <is>
          <t>2047-06-01</t>
        </is>
      </c>
      <c r="E44" s="6" t="inlineStr">
        <is>
          <t>2052-06-01</t>
        </is>
      </c>
      <c r="F44" s="6" t="inlineStr">
        <is>
          <t>2052-03-01</t>
        </is>
      </c>
    </row>
    <row r="45">
      <c r="A45" s="15" t="inlineStr">
        <is>
          <t>origterm</t>
        </is>
      </c>
      <c r="B45" s="16" t="inlineStr">
        <is>
          <t>360</t>
        </is>
      </c>
      <c r="C45" s="16" t="inlineStr">
        <is>
          <t>360</t>
        </is>
      </c>
      <c r="D45" s="16" t="inlineStr">
        <is>
          <t>360</t>
        </is>
      </c>
      <c r="E45" s="16" t="inlineStr">
        <is>
          <t>360</t>
        </is>
      </c>
      <c r="F45" s="16" t="inlineStr">
        <is>
          <t>360</t>
        </is>
      </c>
    </row>
    <row r="46">
      <c r="A46" s="15" t="inlineStr">
        <is>
          <t>svcremterm</t>
        </is>
      </c>
      <c r="B46" s="6" t="inlineStr">
        <is>
          <t>334</t>
        </is>
      </c>
      <c r="C46" s="6" t="inlineStr">
        <is>
          <t>321</t>
        </is>
      </c>
      <c r="D46" s="6" t="inlineStr">
        <is>
          <t>0</t>
        </is>
      </c>
      <c r="E46" s="6" t="inlineStr">
        <is>
          <t>340</t>
        </is>
      </c>
      <c r="F46" s="6" t="inlineStr">
        <is>
          <t>312</t>
        </is>
      </c>
    </row>
    <row r="47">
      <c r="A47" s="15" t="inlineStr">
        <is>
          <t>remterm</t>
        </is>
      </c>
      <c r="B47" s="16" t="inlineStr">
        <is>
          <t>315</t>
        </is>
      </c>
      <c r="C47" s="16" t="inlineStr">
        <is>
          <t>315</t>
        </is>
      </c>
      <c r="D47" s="16" t="inlineStr">
        <is>
          <t>251</t>
        </is>
      </c>
      <c r="E47" s="16" t="inlineStr">
        <is>
          <t>311</t>
        </is>
      </c>
      <c r="F47" s="16" t="inlineStr">
        <is>
          <t>308</t>
        </is>
      </c>
    </row>
    <row r="48">
      <c r="A48" s="15" t="inlineStr">
        <is>
          <t>loanage</t>
        </is>
      </c>
      <c r="B48" s="6" t="inlineStr">
        <is>
          <t>45</t>
        </is>
      </c>
      <c r="C48" s="6" t="inlineStr">
        <is>
          <t>45</t>
        </is>
      </c>
      <c r="D48" s="6" t="inlineStr">
        <is>
          <t>109</t>
        </is>
      </c>
      <c r="E48" s="6" t="inlineStr">
        <is>
          <t>49</t>
        </is>
      </c>
      <c r="F48" s="6" t="inlineStr">
        <is>
          <t>52</t>
        </is>
      </c>
    </row>
    <row r="49">
      <c r="A49" s="15" t="inlineStr">
        <is>
          <t>firstpaymtdt</t>
        </is>
      </c>
      <c r="B49" s="16" t="inlineStr">
        <is>
          <t>2022-11-01</t>
        </is>
      </c>
      <c r="C49" s="16" t="inlineStr">
        <is>
          <t>2022-11-01</t>
        </is>
      </c>
      <c r="D49" s="16" t="inlineStr">
        <is>
          <t>2017-07-01</t>
        </is>
      </c>
      <c r="E49" s="16" t="inlineStr">
        <is>
          <t>2022-07-01</t>
        </is>
      </c>
      <c r="F49" s="16" t="inlineStr">
        <is>
          <t>2022-04-01</t>
        </is>
      </c>
    </row>
    <row r="50">
      <c r="A50" s="15" t="inlineStr">
        <is>
          <t>svcpaymthist</t>
        </is>
      </c>
      <c r="B50" s="6" t="inlineStr">
        <is>
          <t>000001100000010010012345555555555555</t>
        </is>
      </c>
      <c r="C50" s="6" t="inlineStr">
        <is>
          <t>XXXXXXX11222300000001233321112224455</t>
        </is>
      </c>
      <c r="D50" s="6" t="inlineStr">
        <is>
          <t>XXXXXXX01000000000122344445555555550</t>
        </is>
      </c>
      <c r="E50" s="6" t="inlineStr">
        <is>
          <t>XXXXXXX00123444444444555555554666666</t>
        </is>
      </c>
      <c r="F50" s="6" t="inlineStr">
        <is>
          <t>000123444444443434333333444444444444</t>
        </is>
      </c>
    </row>
    <row r="51">
      <c r="A51" s="15" t="inlineStr">
        <is>
          <t>origrate</t>
        </is>
      </c>
      <c r="B51" s="16" t="inlineStr">
        <is>
          <t>6.625</t>
        </is>
      </c>
      <c r="C51" s="16" t="inlineStr">
        <is>
          <t>9.875</t>
        </is>
      </c>
      <c r="D51" s="16" t="inlineStr">
        <is>
          <t>3.5</t>
        </is>
      </c>
      <c r="E51" s="16" t="inlineStr">
        <is>
          <t>4.25</t>
        </is>
      </c>
      <c r="F51" s="16" t="inlineStr">
        <is>
          <t>3.625</t>
        </is>
      </c>
    </row>
    <row r="52">
      <c r="A52" s="15" t="inlineStr">
        <is>
          <t>intrate</t>
        </is>
      </c>
      <c r="B52" s="6" t="inlineStr">
        <is>
          <t>6.625</t>
        </is>
      </c>
      <c r="C52" s="6" t="inlineStr">
        <is>
          <t>9.875</t>
        </is>
      </c>
      <c r="D52" s="6" t="inlineStr">
        <is>
          <t>2.75</t>
        </is>
      </c>
      <c r="E52" s="6" t="inlineStr">
        <is>
          <t>4.25</t>
        </is>
      </c>
      <c r="F52" s="6" t="inlineStr">
        <is>
          <t>3.625</t>
        </is>
      </c>
    </row>
    <row r="53">
      <c r="A53" s="15" t="inlineStr">
        <is>
          <t>fico</t>
        </is>
      </c>
      <c r="B53" s="16" t="inlineStr">
        <is>
          <t>629</t>
        </is>
      </c>
      <c r="C53" s="16" t="inlineStr">
        <is>
          <t>613</t>
        </is>
      </c>
      <c r="D53" s="16" t="inlineStr">
        <is>
          <t>647</t>
        </is>
      </c>
      <c r="E53" s="16" t="inlineStr">
        <is>
          <t>662</t>
        </is>
      </c>
      <c r="F53" s="16" t="inlineStr">
        <is>
          <t>655</t>
        </is>
      </c>
    </row>
    <row r="54">
      <c r="A54" s="15" t="inlineStr">
        <is>
          <t>currfico</t>
        </is>
      </c>
      <c r="B54" s="6" t="inlineStr">
        <is>
          <t>—</t>
        </is>
      </c>
      <c r="C54" s="6" t="inlineStr">
        <is>
          <t>—</t>
        </is>
      </c>
      <c r="D54" s="6" t="inlineStr">
        <is>
          <t>—</t>
        </is>
      </c>
      <c r="E54" s="6" t="inlineStr">
        <is>
          <t>—</t>
        </is>
      </c>
      <c r="F54" s="6" t="inlineStr">
        <is>
          <t>—</t>
        </is>
      </c>
    </row>
    <row r="55">
      <c r="A55" s="15" t="inlineStr">
        <is>
          <t>oltv</t>
        </is>
      </c>
      <c r="B55" s="16" t="inlineStr">
        <is>
          <t>94.72</t>
        </is>
      </c>
      <c r="C55" s="16" t="inlineStr">
        <is>
          <t>83.66</t>
        </is>
      </c>
      <c r="D55" s="16" t="inlineStr">
        <is>
          <t>94.49</t>
        </is>
      </c>
      <c r="E55" s="16" t="inlineStr">
        <is>
          <t>90</t>
        </is>
      </c>
      <c r="F55" s="16" t="inlineStr">
        <is>
          <t>86.87</t>
        </is>
      </c>
    </row>
    <row r="56">
      <c r="A56" s="15" t="inlineStr">
        <is>
          <t>combltv</t>
        </is>
      </c>
      <c r="B56" s="6" t="inlineStr">
        <is>
          <t>95</t>
        </is>
      </c>
      <c r="C56" s="6" t="inlineStr">
        <is>
          <t>85</t>
        </is>
      </c>
      <c r="D56" s="6" t="inlineStr">
        <is>
          <t>95</t>
        </is>
      </c>
      <c r="E56" s="6" t="inlineStr">
        <is>
          <t>90</t>
        </is>
      </c>
      <c r="F56" s="6" t="inlineStr">
        <is>
          <t>86.872</t>
        </is>
      </c>
    </row>
    <row r="57">
      <c r="A57" s="15" t="inlineStr">
        <is>
          <t>dti</t>
        </is>
      </c>
      <c r="B57" s="16" t="inlineStr">
        <is>
          <t>46.705</t>
        </is>
      </c>
      <c r="C57" s="16" t="inlineStr">
        <is>
          <t>29.011</t>
        </is>
      </c>
      <c r="D57" s="16" t="inlineStr">
        <is>
          <t>47</t>
        </is>
      </c>
      <c r="E57" s="16" t="inlineStr">
        <is>
          <t>44.301</t>
        </is>
      </c>
      <c r="F57" s="16" t="inlineStr">
        <is>
          <t>42.883</t>
        </is>
      </c>
    </row>
    <row r="58">
      <c r="A58" s="15" t="inlineStr">
        <is>
          <t>origbpo</t>
        </is>
      </c>
      <c r="B58" s="6" t="inlineStr">
        <is>
          <t>343000</t>
        </is>
      </c>
      <c r="C58" s="6" t="inlineStr">
        <is>
          <t>508000</t>
        </is>
      </c>
      <c r="D58" s="6" t="inlineStr">
        <is>
          <t>563000</t>
        </is>
      </c>
      <c r="E58" s="6" t="inlineStr">
        <is>
          <t>538000</t>
        </is>
      </c>
      <c r="F58" s="6" t="inlineStr">
        <is>
          <t>325000</t>
        </is>
      </c>
    </row>
    <row r="59">
      <c r="A59" s="15" t="inlineStr">
        <is>
          <t>origbpodate</t>
        </is>
      </c>
      <c r="B59" s="16" t="inlineStr">
        <is>
          <t>2022-08-01</t>
        </is>
      </c>
      <c r="C59" s="16" t="inlineStr">
        <is>
          <t>2022-05-01</t>
        </is>
      </c>
      <c r="D59" s="16" t="inlineStr">
        <is>
          <t>—</t>
        </is>
      </c>
      <c r="E59" s="16" t="inlineStr">
        <is>
          <t>2022-05-01</t>
        </is>
      </c>
      <c r="F59" s="16" t="inlineStr">
        <is>
          <t>2022-02-01</t>
        </is>
      </c>
    </row>
    <row r="60">
      <c r="A60" s="15" t="inlineStr">
        <is>
          <t>bpo</t>
        </is>
      </c>
      <c r="B60" s="6" t="inlineStr">
        <is>
          <t>287753</t>
        </is>
      </c>
      <c r="C60" s="6" t="inlineStr">
        <is>
          <t>350000</t>
        </is>
      </c>
      <c r="D60" s="6" t="inlineStr">
        <is>
          <t>855000</t>
        </is>
      </c>
      <c r="E60" s="6" t="inlineStr">
        <is>
          <t>455900</t>
        </is>
      </c>
      <c r="F60" s="6" t="inlineStr">
        <is>
          <t>320750</t>
        </is>
      </c>
    </row>
    <row r="61">
      <c r="A61" s="15" t="inlineStr">
        <is>
          <t>bpodate</t>
        </is>
      </c>
      <c r="B61" s="16" t="inlineStr">
        <is>
          <t>2026-06-01</t>
        </is>
      </c>
      <c r="C61" s="16" t="inlineStr">
        <is>
          <t>2026-04-29</t>
        </is>
      </c>
      <c r="D61" s="16" t="inlineStr">
        <is>
          <t>2026-03-05</t>
        </is>
      </c>
      <c r="E61" s="16" t="inlineStr">
        <is>
          <t>2026-03-30</t>
        </is>
      </c>
      <c r="F61" s="16" t="inlineStr">
        <is>
          <t>2022-12-06</t>
        </is>
      </c>
    </row>
    <row r="62">
      <c r="A62" s="15" t="inlineStr">
        <is>
          <t>salesprice</t>
        </is>
      </c>
      <c r="B62" s="6" t="inlineStr">
        <is>
          <t>342000</t>
        </is>
      </c>
      <c r="C62" s="6" t="inlineStr">
        <is>
          <t>500000</t>
        </is>
      </c>
      <c r="D62" s="6" t="inlineStr">
        <is>
          <t>—</t>
        </is>
      </c>
      <c r="E62" s="6" t="inlineStr">
        <is>
          <t>—</t>
        </is>
      </c>
      <c r="F62" s="6" t="inlineStr">
        <is>
          <t>—</t>
        </is>
      </c>
    </row>
    <row r="63">
      <c r="A63" s="15" t="inlineStr">
        <is>
          <t>amorttype</t>
        </is>
      </c>
      <c r="B63" s="16" t="inlineStr">
        <is>
          <t>FIX</t>
        </is>
      </c>
      <c r="C63" s="16" t="inlineStr">
        <is>
          <t>FIX</t>
        </is>
      </c>
      <c r="D63" s="16" t="inlineStr">
        <is>
          <t>ARM</t>
        </is>
      </c>
      <c r="E63" s="16" t="inlineStr">
        <is>
          <t>FIX</t>
        </is>
      </c>
      <c r="F63" s="16" t="inlineStr">
        <is>
          <t>FIX</t>
        </is>
      </c>
    </row>
    <row r="64">
      <c r="A64" s="15" t="inlineStr">
        <is>
          <t>origamortizeterm</t>
        </is>
      </c>
      <c r="B64" s="6" t="inlineStr">
        <is>
          <t>360</t>
        </is>
      </c>
      <c r="C64" s="6" t="inlineStr">
        <is>
          <t>360</t>
        </is>
      </c>
      <c r="D64" s="6" t="inlineStr">
        <is>
          <t>360</t>
        </is>
      </c>
      <c r="E64" s="6" t="inlineStr">
        <is>
          <t>360</t>
        </is>
      </c>
      <c r="F64" s="6" t="inlineStr">
        <is>
          <t>360</t>
        </is>
      </c>
    </row>
    <row r="65">
      <c r="A65" s="15" t="inlineStr">
        <is>
          <t>amortizeterm</t>
        </is>
      </c>
      <c r="B65" s="16" t="inlineStr">
        <is>
          <t>360</t>
        </is>
      </c>
      <c r="C65" s="16" t="inlineStr">
        <is>
          <t>360</t>
        </is>
      </c>
      <c r="D65" s="16" t="inlineStr">
        <is>
          <t>360</t>
        </is>
      </c>
      <c r="E65" s="16" t="inlineStr">
        <is>
          <t>360</t>
        </is>
      </c>
      <c r="F65" s="16" t="inlineStr">
        <is>
          <t>360</t>
        </is>
      </c>
    </row>
    <row r="66">
      <c r="A66" s="15" t="inlineStr">
        <is>
          <t>forbearance</t>
        </is>
      </c>
      <c r="B66" s="6" t="inlineStr">
        <is>
          <t>—</t>
        </is>
      </c>
      <c r="C66" s="6" t="inlineStr">
        <is>
          <t>—</t>
        </is>
      </c>
      <c r="D66" s="6" t="inlineStr">
        <is>
          <t>Satisfied</t>
        </is>
      </c>
      <c r="E66" s="6" t="inlineStr">
        <is>
          <t>—</t>
        </is>
      </c>
      <c r="F66" s="6" t="inlineStr">
        <is>
          <t>—</t>
        </is>
      </c>
    </row>
    <row r="67">
      <c r="A67" s="15" t="inlineStr">
        <is>
          <t>lien</t>
        </is>
      </c>
      <c r="B67" s="16" t="inlineStr">
        <is>
          <t>1</t>
        </is>
      </c>
      <c r="C67" s="16" t="inlineStr">
        <is>
          <t>1</t>
        </is>
      </c>
      <c r="D67" s="16" t="inlineStr">
        <is>
          <t>1</t>
        </is>
      </c>
      <c r="E67" s="16" t="inlineStr">
        <is>
          <t>1</t>
        </is>
      </c>
      <c r="F67" s="16" t="inlineStr">
        <is>
          <t>1</t>
        </is>
      </c>
    </row>
    <row r="68">
      <c r="A68" s="15" t="inlineStr">
        <is>
          <t>dpa</t>
        </is>
      </c>
      <c r="B68" s="6" t="inlineStr">
        <is>
          <t>—</t>
        </is>
      </c>
      <c r="C68" s="6" t="inlineStr">
        <is>
          <t>—</t>
        </is>
      </c>
      <c r="D68" s="6" t="inlineStr">
        <is>
          <t>—</t>
        </is>
      </c>
      <c r="E68" s="6" t="inlineStr">
        <is>
          <t>—</t>
        </is>
      </c>
      <c r="F68" s="6" t="inlineStr">
        <is>
          <t>—</t>
        </is>
      </c>
    </row>
    <row r="69">
      <c r="A69" s="15" t="inlineStr">
        <is>
          <t>fthb</t>
        </is>
      </c>
      <c r="B69" s="16" t="inlineStr">
        <is>
          <t>—</t>
        </is>
      </c>
      <c r="C69" s="16" t="inlineStr">
        <is>
          <t>N</t>
        </is>
      </c>
      <c r="D69" s="16" t="inlineStr">
        <is>
          <t>—</t>
        </is>
      </c>
      <c r="E69" s="16" t="inlineStr">
        <is>
          <t>—</t>
        </is>
      </c>
      <c r="F69" s="16" t="inlineStr">
        <is>
          <t>—</t>
        </is>
      </c>
    </row>
    <row r="70">
      <c r="A70" s="15" t="inlineStr">
        <is>
          <t>balloon</t>
        </is>
      </c>
      <c r="B70" s="6" t="inlineStr">
        <is>
          <t>N</t>
        </is>
      </c>
      <c r="C70" s="6" t="inlineStr">
        <is>
          <t>N</t>
        </is>
      </c>
      <c r="D70" s="6" t="inlineStr">
        <is>
          <t>N</t>
        </is>
      </c>
      <c r="E70" s="6" t="inlineStr">
        <is>
          <t>N</t>
        </is>
      </c>
      <c r="F70" s="6" t="inlineStr">
        <is>
          <t>N</t>
        </is>
      </c>
    </row>
    <row r="71">
      <c r="A71" s="15" t="inlineStr">
        <is>
          <t>balloonterm</t>
        </is>
      </c>
      <c r="B71" s="16" t="inlineStr">
        <is>
          <t>—</t>
        </is>
      </c>
      <c r="C71" s="16" t="inlineStr">
        <is>
          <t>—</t>
        </is>
      </c>
      <c r="D71" s="16" t="inlineStr">
        <is>
          <t>0</t>
        </is>
      </c>
      <c r="E71" s="16" t="inlineStr">
        <is>
          <t>—</t>
        </is>
      </c>
      <c r="F71" s="16" t="inlineStr">
        <is>
          <t>—</t>
        </is>
      </c>
    </row>
    <row r="72">
      <c r="A72" s="15" t="inlineStr">
        <is>
          <t>buydown</t>
        </is>
      </c>
      <c r="B72" s="6" t="inlineStr">
        <is>
          <t>—</t>
        </is>
      </c>
      <c r="C72" s="6" t="inlineStr">
        <is>
          <t>—</t>
        </is>
      </c>
      <c r="D72" s="6" t="inlineStr">
        <is>
          <t>N</t>
        </is>
      </c>
      <c r="E72" s="6" t="inlineStr">
        <is>
          <t>—</t>
        </is>
      </c>
      <c r="F72" s="6" t="inlineStr">
        <is>
          <t>—</t>
        </is>
      </c>
    </row>
    <row r="73">
      <c r="A73" s="15" t="inlineStr">
        <is>
          <t>pmiflag</t>
        </is>
      </c>
      <c r="B73" s="16" t="inlineStr">
        <is>
          <t>Y</t>
        </is>
      </c>
      <c r="C73" s="16" t="inlineStr">
        <is>
          <t>N</t>
        </is>
      </c>
      <c r="D73" s="16" t="inlineStr">
        <is>
          <t>N</t>
        </is>
      </c>
      <c r="E73" s="16" t="inlineStr">
        <is>
          <t>N</t>
        </is>
      </c>
      <c r="F73" s="16" t="inlineStr">
        <is>
          <t>N</t>
        </is>
      </c>
    </row>
    <row r="74">
      <c r="A74" s="15" t="inlineStr">
        <is>
          <t>pmitype</t>
        </is>
      </c>
      <c r="B74" s="6" t="inlineStr">
        <is>
          <t>PMI</t>
        </is>
      </c>
      <c r="C74" s="6" t="inlineStr">
        <is>
          <t>—</t>
        </is>
      </c>
      <c r="D74" s="6" t="inlineStr">
        <is>
          <t>PMI</t>
        </is>
      </c>
      <c r="E74" s="6" t="inlineStr">
        <is>
          <t>—</t>
        </is>
      </c>
      <c r="F74" s="6" t="inlineStr">
        <is>
          <t>—</t>
        </is>
      </c>
    </row>
    <row r="75">
      <c r="A75" s="15" t="inlineStr">
        <is>
          <t>pmilevel</t>
        </is>
      </c>
      <c r="B75" s="16" t="inlineStr">
        <is>
          <t>30</t>
        </is>
      </c>
      <c r="C75" s="16" t="inlineStr">
        <is>
          <t>0</t>
        </is>
      </c>
      <c r="D75" s="16" t="inlineStr">
        <is>
          <t>30</t>
        </is>
      </c>
      <c r="E75" s="16" t="inlineStr">
        <is>
          <t>0</t>
        </is>
      </c>
      <c r="F75" s="16" t="inlineStr">
        <is>
          <t>0</t>
        </is>
      </c>
    </row>
    <row r="76">
      <c r="A76" s="15" t="inlineStr">
        <is>
          <t>pmileveladj</t>
        </is>
      </c>
      <c r="B76" s="6" t="inlineStr">
        <is>
          <t>—</t>
        </is>
      </c>
      <c r="C76" s="6" t="inlineStr">
        <is>
          <t>0</t>
        </is>
      </c>
      <c r="D76" s="6" t="inlineStr">
        <is>
          <t>—</t>
        </is>
      </c>
      <c r="E76" s="6" t="inlineStr">
        <is>
          <t>—</t>
        </is>
      </c>
      <c r="F76" s="6" t="inlineStr">
        <is>
          <t>—</t>
        </is>
      </c>
    </row>
    <row r="77">
      <c r="A77" s="15" t="inlineStr">
        <is>
          <t>pmicancel</t>
        </is>
      </c>
      <c r="B77" s="16" t="inlineStr">
        <is>
          <t>—</t>
        </is>
      </c>
      <c r="C77" s="16" t="inlineStr">
        <is>
          <t>—</t>
        </is>
      </c>
      <c r="D77" s="16" t="inlineStr">
        <is>
          <t>Y</t>
        </is>
      </c>
      <c r="E77" s="16" t="inlineStr">
        <is>
          <t>—</t>
        </is>
      </c>
      <c r="F77" s="16" t="inlineStr">
        <is>
          <t>—</t>
        </is>
      </c>
    </row>
    <row r="78">
      <c r="A78" s="15" t="inlineStr">
        <is>
          <t>pmicanceldt</t>
        </is>
      </c>
      <c r="B78" s="6" t="inlineStr">
        <is>
          <t>—</t>
        </is>
      </c>
      <c r="C78" s="6" t="inlineStr">
        <is>
          <t>—</t>
        </is>
      </c>
      <c r="D78" s="6" t="inlineStr">
        <is>
          <t>2026-04-16</t>
        </is>
      </c>
      <c r="E78" s="6" t="inlineStr">
        <is>
          <t>—</t>
        </is>
      </c>
      <c r="F78" s="6" t="inlineStr">
        <is>
          <t>—</t>
        </is>
      </c>
    </row>
    <row r="79">
      <c r="A79" s="15" t="inlineStr">
        <is>
          <t>pmiexpirationdt</t>
        </is>
      </c>
      <c r="B79" s="16" t="inlineStr">
        <is>
          <t>2034-09-01</t>
        </is>
      </c>
      <c r="C79" s="16" t="inlineStr">
        <is>
          <t>—</t>
        </is>
      </c>
      <c r="D79" s="16" t="inlineStr">
        <is>
          <t>2025-09-01</t>
        </is>
      </c>
      <c r="E79" s="16" t="inlineStr">
        <is>
          <t>—</t>
        </is>
      </c>
      <c r="F79" s="16" t="inlineStr">
        <is>
          <t>—</t>
        </is>
      </c>
    </row>
    <row r="80">
      <c r="A80" s="15" t="inlineStr">
        <is>
          <t>pminotes</t>
        </is>
      </c>
      <c r="B80" s="6" t="inlineStr">
        <is>
          <t>—</t>
        </is>
      </c>
      <c r="C80" s="6" t="inlineStr">
        <is>
          <t>—</t>
        </is>
      </c>
      <c r="D80" s="6" t="inlineStr">
        <is>
          <t>—</t>
        </is>
      </c>
      <c r="E80" s="6" t="inlineStr">
        <is>
          <t>—</t>
        </is>
      </c>
      <c r="F80" s="6" t="inlineStr">
        <is>
          <t>—</t>
        </is>
      </c>
    </row>
    <row r="81">
      <c r="A81" s="15" t="inlineStr">
        <is>
          <t>partialclaim</t>
        </is>
      </c>
      <c r="B81" s="16" t="inlineStr">
        <is>
          <t>—</t>
        </is>
      </c>
      <c r="C81" s="16" t="inlineStr">
        <is>
          <t>—</t>
        </is>
      </c>
      <c r="D81" s="16" t="inlineStr">
        <is>
          <t>—</t>
        </is>
      </c>
      <c r="E81" s="16" t="inlineStr">
        <is>
          <t>—</t>
        </is>
      </c>
      <c r="F81" s="16" t="inlineStr">
        <is>
          <t>—</t>
        </is>
      </c>
    </row>
    <row r="82">
      <c r="A82" s="15" t="inlineStr">
        <is>
          <t>moreunits</t>
        </is>
      </c>
      <c r="B82" s="6" t="inlineStr">
        <is>
          <t>1</t>
        </is>
      </c>
      <c r="C82" s="6" t="inlineStr">
        <is>
          <t>1</t>
        </is>
      </c>
      <c r="D82" s="6" t="inlineStr">
        <is>
          <t>1</t>
        </is>
      </c>
      <c r="E82" s="6" t="inlineStr">
        <is>
          <t>1</t>
        </is>
      </c>
      <c r="F82" s="6" t="inlineStr">
        <is>
          <t>1</t>
        </is>
      </c>
    </row>
    <row r="83">
      <c r="A83" s="15" t="inlineStr">
        <is>
          <t>indextype</t>
        </is>
      </c>
      <c r="B83" s="16" t="inlineStr">
        <is>
          <t>—</t>
        </is>
      </c>
      <c r="C83" s="16" t="inlineStr">
        <is>
          <t>—</t>
        </is>
      </c>
      <c r="D83" s="16" t="inlineStr">
        <is>
          <t>CMT1Y</t>
        </is>
      </c>
      <c r="E83" s="16" t="inlineStr">
        <is>
          <t>—</t>
        </is>
      </c>
      <c r="F83" s="16" t="inlineStr">
        <is>
          <t>—</t>
        </is>
      </c>
    </row>
    <row r="84">
      <c r="A84" s="15" t="inlineStr">
        <is>
          <t>margin</t>
        </is>
      </c>
      <c r="B84" s="6" t="inlineStr">
        <is>
          <t>—</t>
        </is>
      </c>
      <c r="C84" s="6" t="inlineStr">
        <is>
          <t>—</t>
        </is>
      </c>
      <c r="D84" s="6" t="inlineStr">
        <is>
          <t>2.75</t>
        </is>
      </c>
      <c r="E84" s="6" t="inlineStr">
        <is>
          <t>—</t>
        </is>
      </c>
      <c r="F84" s="6" t="inlineStr">
        <is>
          <t>—</t>
        </is>
      </c>
    </row>
    <row r="85">
      <c r="A85" s="15" t="inlineStr">
        <is>
          <t>liferatefloor</t>
        </is>
      </c>
      <c r="B85" s="16" t="inlineStr">
        <is>
          <t>—</t>
        </is>
      </c>
      <c r="C85" s="16" t="inlineStr">
        <is>
          <t>—</t>
        </is>
      </c>
      <c r="D85" s="16" t="inlineStr">
        <is>
          <t>2.75</t>
        </is>
      </c>
      <c r="E85" s="16" t="inlineStr">
        <is>
          <t>—</t>
        </is>
      </c>
      <c r="F85" s="16" t="inlineStr">
        <is>
          <t>—</t>
        </is>
      </c>
    </row>
    <row r="86">
      <c r="A86" s="15" t="inlineStr">
        <is>
          <t>liferatecap</t>
        </is>
      </c>
      <c r="B86" s="6" t="inlineStr">
        <is>
          <t>—</t>
        </is>
      </c>
      <c r="C86" s="6" t="inlineStr">
        <is>
          <t>—</t>
        </is>
      </c>
      <c r="D86" s="6" t="inlineStr">
        <is>
          <t>7.75</t>
        </is>
      </c>
      <c r="E86" s="6" t="inlineStr">
        <is>
          <t>—</t>
        </is>
      </c>
      <c r="F86" s="6" t="inlineStr">
        <is>
          <t>—</t>
        </is>
      </c>
    </row>
    <row r="87">
      <c r="A87" s="15" t="inlineStr">
        <is>
          <t>lifechgfloor</t>
        </is>
      </c>
      <c r="B87" s="16" t="inlineStr">
        <is>
          <t>—</t>
        </is>
      </c>
      <c r="C87" s="16" t="inlineStr">
        <is>
          <t>—</t>
        </is>
      </c>
      <c r="D87" s="16" t="inlineStr">
        <is>
          <t>—</t>
        </is>
      </c>
      <c r="E87" s="16" t="inlineStr">
        <is>
          <t>—</t>
        </is>
      </c>
      <c r="F87" s="16" t="inlineStr">
        <is>
          <t>—</t>
        </is>
      </c>
    </row>
    <row r="88">
      <c r="A88" s="15" t="inlineStr">
        <is>
          <t>lifechgcap</t>
        </is>
      </c>
      <c r="B88" s="6" t="inlineStr">
        <is>
          <t>—</t>
        </is>
      </c>
      <c r="C88" s="6" t="inlineStr">
        <is>
          <t>—</t>
        </is>
      </c>
      <c r="D88" s="6" t="inlineStr">
        <is>
          <t>—</t>
        </is>
      </c>
      <c r="E88" s="6" t="inlineStr">
        <is>
          <t>—</t>
        </is>
      </c>
      <c r="F88" s="6" t="inlineStr">
        <is>
          <t>—</t>
        </is>
      </c>
    </row>
    <row r="89">
      <c r="A89" s="15" t="inlineStr">
        <is>
          <t>firstcap</t>
        </is>
      </c>
      <c r="B89" s="16" t="inlineStr">
        <is>
          <t>—</t>
        </is>
      </c>
      <c r="C89" s="16" t="inlineStr">
        <is>
          <t>—</t>
        </is>
      </c>
      <c r="D89" s="16" t="inlineStr">
        <is>
          <t>5</t>
        </is>
      </c>
      <c r="E89" s="16" t="inlineStr">
        <is>
          <t>—</t>
        </is>
      </c>
      <c r="F89" s="16" t="inlineStr">
        <is>
          <t>—</t>
        </is>
      </c>
    </row>
    <row r="90">
      <c r="A90" s="15" t="inlineStr">
        <is>
          <t>periodiccap</t>
        </is>
      </c>
      <c r="B90" s="6" t="inlineStr">
        <is>
          <t>—</t>
        </is>
      </c>
      <c r="C90" s="6" t="inlineStr">
        <is>
          <t>—</t>
        </is>
      </c>
      <c r="D90" s="6" t="inlineStr">
        <is>
          <t>2</t>
        </is>
      </c>
      <c r="E90" s="6" t="inlineStr">
        <is>
          <t>—</t>
        </is>
      </c>
      <c r="F90" s="6" t="inlineStr">
        <is>
          <t>—</t>
        </is>
      </c>
    </row>
    <row r="91">
      <c r="A91" s="15" t="inlineStr">
        <is>
          <t>monthtofirstreset</t>
        </is>
      </c>
      <c r="B91" s="16" t="inlineStr">
        <is>
          <t>—</t>
        </is>
      </c>
      <c r="C91" s="16" t="inlineStr">
        <is>
          <t>—</t>
        </is>
      </c>
      <c r="D91" s="16" t="inlineStr">
        <is>
          <t>137</t>
        </is>
      </c>
      <c r="E91" s="16" t="inlineStr">
        <is>
          <t>—</t>
        </is>
      </c>
      <c r="F91" s="16" t="inlineStr">
        <is>
          <t>—</t>
        </is>
      </c>
    </row>
    <row r="92">
      <c r="A92" s="15" t="inlineStr">
        <is>
          <t>firstresetdate</t>
        </is>
      </c>
      <c r="B92" s="6" t="inlineStr">
        <is>
          <t>—</t>
        </is>
      </c>
      <c r="C92" s="6" t="inlineStr">
        <is>
          <t>—</t>
        </is>
      </c>
      <c r="D92" s="6" t="inlineStr">
        <is>
          <t>2028-11-01</t>
        </is>
      </c>
      <c r="E92" s="6" t="inlineStr">
        <is>
          <t>—</t>
        </is>
      </c>
      <c r="F92" s="6" t="inlineStr">
        <is>
          <t>—</t>
        </is>
      </c>
    </row>
    <row r="93">
      <c r="A93" s="15" t="inlineStr">
        <is>
          <t>resetfreq</t>
        </is>
      </c>
      <c r="B93" s="16" t="inlineStr">
        <is>
          <t>—</t>
        </is>
      </c>
      <c r="C93" s="16" t="inlineStr">
        <is>
          <t>—</t>
        </is>
      </c>
      <c r="D93" s="16" t="inlineStr">
        <is>
          <t>12</t>
        </is>
      </c>
      <c r="E93" s="16" t="inlineStr">
        <is>
          <t>—</t>
        </is>
      </c>
      <c r="F93" s="16" t="inlineStr">
        <is>
          <t>—</t>
        </is>
      </c>
    </row>
    <row r="94">
      <c r="A94" s="15" t="inlineStr">
        <is>
          <t>piw</t>
        </is>
      </c>
      <c r="B94" s="6" t="inlineStr">
        <is>
          <t>—</t>
        </is>
      </c>
      <c r="C94" s="6" t="inlineStr">
        <is>
          <t>—</t>
        </is>
      </c>
      <c r="D94" s="6" t="inlineStr">
        <is>
          <t>—</t>
        </is>
      </c>
      <c r="E94" s="6" t="inlineStr">
        <is>
          <t>—</t>
        </is>
      </c>
      <c r="F94" s="6" t="inlineStr">
        <is>
          <t>—</t>
        </is>
      </c>
    </row>
    <row r="95">
      <c r="A95" s="15" t="inlineStr">
        <is>
          <t>prepaypenalty</t>
        </is>
      </c>
      <c r="B95" s="16" t="inlineStr">
        <is>
          <t>N</t>
        </is>
      </c>
      <c r="C95" s="16" t="inlineStr">
        <is>
          <t>N</t>
        </is>
      </c>
      <c r="D95" s="16" t="inlineStr">
        <is>
          <t>N</t>
        </is>
      </c>
      <c r="E95" s="16" t="inlineStr">
        <is>
          <t>N</t>
        </is>
      </c>
      <c r="F95" s="16" t="inlineStr">
        <is>
          <t>N</t>
        </is>
      </c>
    </row>
    <row r="96">
      <c r="A96" s="15" t="inlineStr">
        <is>
          <t>prepaypenaltyterm</t>
        </is>
      </c>
      <c r="B96" s="6" t="inlineStr">
        <is>
          <t>0</t>
        </is>
      </c>
      <c r="C96" s="6" t="inlineStr">
        <is>
          <t>0</t>
        </is>
      </c>
      <c r="D96" s="6" t="inlineStr">
        <is>
          <t>0</t>
        </is>
      </c>
      <c r="E96" s="6" t="inlineStr">
        <is>
          <t>0</t>
        </is>
      </c>
      <c r="F96" s="6" t="inlineStr">
        <is>
          <t>0</t>
        </is>
      </c>
    </row>
    <row r="97">
      <c r="A97" s="15" t="inlineStr">
        <is>
          <t>prepaypenaltytype</t>
        </is>
      </c>
      <c r="B97" s="16" t="inlineStr">
        <is>
          <t>—</t>
        </is>
      </c>
      <c r="C97" s="16" t="inlineStr">
        <is>
          <t>—</t>
        </is>
      </c>
      <c r="D97" s="16" t="inlineStr">
        <is>
          <t>—</t>
        </is>
      </c>
      <c r="E97" s="16" t="inlineStr">
        <is>
          <t>—</t>
        </is>
      </c>
      <c r="F97" s="16" t="inlineStr">
        <is>
          <t>—</t>
        </is>
      </c>
    </row>
    <row r="98">
      <c r="A98" s="15" t="inlineStr">
        <is>
          <t>io</t>
        </is>
      </c>
      <c r="B98" s="6" t="inlineStr">
        <is>
          <t>N</t>
        </is>
      </c>
      <c r="C98" s="6" t="inlineStr">
        <is>
          <t>N</t>
        </is>
      </c>
      <c r="D98" s="6" t="inlineStr">
        <is>
          <t>N</t>
        </is>
      </c>
      <c r="E98" s="6" t="inlineStr">
        <is>
          <t>N</t>
        </is>
      </c>
      <c r="F98" s="6" t="inlineStr">
        <is>
          <t>N</t>
        </is>
      </c>
    </row>
    <row r="99">
      <c r="A99" s="15" t="inlineStr">
        <is>
          <t>iomonth</t>
        </is>
      </c>
      <c r="B99" s="16" t="inlineStr">
        <is>
          <t>0</t>
        </is>
      </c>
      <c r="C99" s="16" t="inlineStr">
        <is>
          <t>0</t>
        </is>
      </c>
      <c r="D99" s="16" t="inlineStr">
        <is>
          <t>0</t>
        </is>
      </c>
      <c r="E99" s="16" t="inlineStr">
        <is>
          <t>0</t>
        </is>
      </c>
      <c r="F99" s="16" t="inlineStr">
        <is>
          <t>0</t>
        </is>
      </c>
    </row>
    <row r="100">
      <c r="A100" s="15" t="inlineStr">
        <is>
          <t>dscr</t>
        </is>
      </c>
      <c r="B100" s="6" t="inlineStr">
        <is>
          <t>—</t>
        </is>
      </c>
      <c r="C100" s="6" t="inlineStr">
        <is>
          <t>—</t>
        </is>
      </c>
      <c r="D100" s="6" t="inlineStr">
        <is>
          <t>—</t>
        </is>
      </c>
      <c r="E100" s="6" t="inlineStr">
        <is>
          <t>—</t>
        </is>
      </c>
      <c r="F100" s="6" t="inlineStr">
        <is>
          <t>—</t>
        </is>
      </c>
    </row>
    <row r="101">
      <c r="A101" s="15" t="inlineStr">
        <is>
          <t>origbal</t>
        </is>
      </c>
      <c r="B101" s="16" t="inlineStr">
        <is>
          <t>324900</t>
        </is>
      </c>
      <c r="C101" s="16" t="inlineStr">
        <is>
          <t>425000</t>
        </is>
      </c>
      <c r="D101" s="16" t="inlineStr">
        <is>
          <t>532000</t>
        </is>
      </c>
      <c r="E101" s="16" t="inlineStr">
        <is>
          <t>484200</t>
        </is>
      </c>
      <c r="F101" s="16" t="inlineStr">
        <is>
          <t>282335</t>
        </is>
      </c>
    </row>
    <row r="102">
      <c r="A102" s="15" t="inlineStr">
        <is>
          <t>prevbal</t>
        </is>
      </c>
      <c r="B102" s="6" t="inlineStr">
        <is>
          <t>—</t>
        </is>
      </c>
      <c r="C102" s="6" t="inlineStr">
        <is>
          <t>—</t>
        </is>
      </c>
      <c r="D102" s="6" t="inlineStr">
        <is>
          <t>—</t>
        </is>
      </c>
      <c r="E102" s="6" t="inlineStr">
        <is>
          <t>—</t>
        </is>
      </c>
      <c r="F102" s="6" t="inlineStr">
        <is>
          <t>—</t>
        </is>
      </c>
    </row>
    <row r="103">
      <c r="A103" s="15" t="inlineStr">
        <is>
          <t>balance</t>
        </is>
      </c>
      <c r="B103" s="16" t="inlineStr">
        <is>
          <t>316909.28</t>
        </is>
      </c>
      <c r="C103" s="16" t="inlineStr">
        <is>
          <t>416163.45</t>
        </is>
      </c>
      <c r="D103" s="16" t="inlineStr">
        <is>
          <t>0</t>
        </is>
      </c>
      <c r="E103" s="16" t="inlineStr">
        <is>
          <t>470399.51</t>
        </is>
      </c>
      <c r="F103" s="16" t="inlineStr">
        <is>
          <t>259917</t>
        </is>
      </c>
    </row>
    <row r="104">
      <c r="A104" s="15" t="inlineStr">
        <is>
          <t>deferredprin</t>
        </is>
      </c>
      <c r="B104" s="6" t="inlineStr">
        <is>
          <t>0</t>
        </is>
      </c>
      <c r="C104" s="6" t="inlineStr">
        <is>
          <t>0</t>
        </is>
      </c>
      <c r="D104" s="6" t="inlineStr">
        <is>
          <t>0</t>
        </is>
      </c>
      <c r="E104" s="6" t="inlineStr">
        <is>
          <t>0</t>
        </is>
      </c>
      <c r="F104" s="6" t="inlineStr">
        <is>
          <t>0</t>
        </is>
      </c>
    </row>
    <row r="105">
      <c r="A105" s="15" t="inlineStr">
        <is>
          <t>deferredint</t>
        </is>
      </c>
      <c r="B105" s="16" t="inlineStr">
        <is>
          <t>0</t>
        </is>
      </c>
      <c r="C105" s="16" t="inlineStr">
        <is>
          <t>0</t>
        </is>
      </c>
      <c r="D105" s="16" t="inlineStr">
        <is>
          <t>0</t>
        </is>
      </c>
      <c r="E105" s="16" t="inlineStr">
        <is>
          <t>0</t>
        </is>
      </c>
      <c r="F105" s="16" t="inlineStr">
        <is>
          <t>0</t>
        </is>
      </c>
    </row>
    <row r="106">
      <c r="A106" s="15" t="inlineStr">
        <is>
          <t>pandi</t>
        </is>
      </c>
      <c r="B106" s="6" t="inlineStr">
        <is>
          <t>2080.37</t>
        </is>
      </c>
      <c r="C106" s="6" t="inlineStr">
        <is>
          <t>3690.48</t>
        </is>
      </c>
      <c r="D106" s="6" t="inlineStr">
        <is>
          <t>2195.33</t>
        </is>
      </c>
      <c r="E106" s="6" t="inlineStr">
        <is>
          <t>2381.97</t>
        </is>
      </c>
      <c r="F106" s="6" t="inlineStr">
        <is>
          <t>1287.59</t>
        </is>
      </c>
    </row>
    <row r="107">
      <c r="A107" s="15" t="inlineStr">
        <is>
          <t>tandi</t>
        </is>
      </c>
      <c r="B107" s="16" t="inlineStr">
        <is>
          <t>786.1</t>
        </is>
      </c>
      <c r="C107" s="16" t="inlineStr">
        <is>
          <t>1111.95</t>
        </is>
      </c>
      <c r="D107" s="16" t="inlineStr">
        <is>
          <t>1990.72</t>
        </is>
      </c>
      <c r="E107" s="16" t="inlineStr">
        <is>
          <t>438.01</t>
        </is>
      </c>
      <c r="F107" s="16" t="inlineStr">
        <is>
          <t>904.41</t>
        </is>
      </c>
    </row>
    <row r="108">
      <c r="A108" s="15" t="inlineStr">
        <is>
          <t>piti</t>
        </is>
      </c>
      <c r="B108" s="6" t="inlineStr">
        <is>
          <t>2866.47</t>
        </is>
      </c>
      <c r="C108" s="6" t="inlineStr">
        <is>
          <t>4802.43</t>
        </is>
      </c>
      <c r="D108" s="6" t="inlineStr">
        <is>
          <t>4186.05</t>
        </is>
      </c>
      <c r="E108" s="6" t="inlineStr">
        <is>
          <t>2819.98</t>
        </is>
      </c>
      <c r="F108" s="6" t="inlineStr">
        <is>
          <t>2192</t>
        </is>
      </c>
    </row>
    <row r="109">
      <c r="A109" s="15" t="inlineStr">
        <is>
          <t>escrowbal</t>
        </is>
      </c>
      <c r="B109" s="16" t="inlineStr">
        <is>
          <t>0</t>
        </is>
      </c>
      <c r="C109" s="16" t="inlineStr">
        <is>
          <t>0</t>
        </is>
      </c>
      <c r="D109" s="16" t="inlineStr">
        <is>
          <t>0</t>
        </is>
      </c>
      <c r="E109" s="16" t="inlineStr">
        <is>
          <t>0</t>
        </is>
      </c>
      <c r="F109" s="16" t="inlineStr">
        <is>
          <t>0</t>
        </is>
      </c>
    </row>
    <row r="110">
      <c r="A110" s="15" t="inlineStr">
        <is>
          <t>escrowadv</t>
        </is>
      </c>
      <c r="B110" s="6" t="inlineStr">
        <is>
          <t>15023.97</t>
        </is>
      </c>
      <c r="C110" s="6" t="inlineStr">
        <is>
          <t>4631.78</t>
        </is>
      </c>
      <c r="D110" s="6" t="inlineStr">
        <is>
          <t>0</t>
        </is>
      </c>
      <c r="E110" s="6" t="inlineStr">
        <is>
          <t>12520.46</t>
        </is>
      </c>
      <c r="F110" s="6" t="inlineStr">
        <is>
          <t>5261.99</t>
        </is>
      </c>
    </row>
    <row r="111">
      <c r="A111" s="15" t="inlineStr">
        <is>
          <t>corpadvrec</t>
        </is>
      </c>
      <c r="B111" s="16" t="inlineStr">
        <is>
          <t>10593.28</t>
        </is>
      </c>
      <c r="C111" s="16" t="inlineStr">
        <is>
          <t>922.04</t>
        </is>
      </c>
      <c r="D111" s="16" t="inlineStr">
        <is>
          <t>30</t>
        </is>
      </c>
      <c r="E111" s="16" t="inlineStr">
        <is>
          <t>16073.44</t>
        </is>
      </c>
      <c r="F111" s="16" t="inlineStr">
        <is>
          <t>0</t>
        </is>
      </c>
    </row>
    <row r="112">
      <c r="A112" s="15" t="inlineStr">
        <is>
          <t>corpadvnonrec</t>
        </is>
      </c>
      <c r="B112" s="6" t="inlineStr">
        <is>
          <t>1605.75</t>
        </is>
      </c>
      <c r="C112" s="6" t="inlineStr">
        <is>
          <t>3240.8</t>
        </is>
      </c>
      <c r="D112" s="6" t="inlineStr">
        <is>
          <t>2170.3</t>
        </is>
      </c>
      <c r="E112" s="6" t="inlineStr">
        <is>
          <t>-93577.26</t>
        </is>
      </c>
      <c r="F112" s="6" t="inlineStr">
        <is>
          <t>2020.63</t>
        </is>
      </c>
    </row>
    <row r="113">
      <c r="A113" s="15" t="inlineStr">
        <is>
          <t>corpadvtotal</t>
        </is>
      </c>
      <c r="B113" s="16" t="inlineStr">
        <is>
          <t>12199.03</t>
        </is>
      </c>
      <c r="C113" s="16" t="inlineStr">
        <is>
          <t>4162.84</t>
        </is>
      </c>
      <c r="D113" s="16" t="inlineStr">
        <is>
          <t>2200.3</t>
        </is>
      </c>
      <c r="E113" s="16" t="inlineStr">
        <is>
          <t>-77503.82</t>
        </is>
      </c>
      <c r="F113" s="16" t="inlineStr">
        <is>
          <t>2020.63</t>
        </is>
      </c>
    </row>
    <row r="114">
      <c r="A114" s="15" t="inlineStr">
        <is>
          <t>invbal</t>
        </is>
      </c>
      <c r="B114" s="6" t="inlineStr">
        <is>
          <t>316909.28</t>
        </is>
      </c>
      <c r="C114" s="6" t="inlineStr">
        <is>
          <t>416163.45</t>
        </is>
      </c>
      <c r="D114" s="6" t="inlineStr">
        <is>
          <t>0</t>
        </is>
      </c>
      <c r="E114" s="6" t="inlineStr">
        <is>
          <t>470399.51</t>
        </is>
      </c>
      <c r="F114" s="6" t="inlineStr">
        <is>
          <t>259917</t>
        </is>
      </c>
    </row>
    <row r="115">
      <c r="A115" s="15" t="inlineStr">
        <is>
          <t>invbalsched</t>
        </is>
      </c>
      <c r="B115" s="16" t="inlineStr">
        <is>
          <t>—</t>
        </is>
      </c>
      <c r="C115" s="16" t="inlineStr">
        <is>
          <t>—</t>
        </is>
      </c>
      <c r="D115" s="16" t="inlineStr">
        <is>
          <t>—</t>
        </is>
      </c>
      <c r="E115" s="16" t="inlineStr">
        <is>
          <t>—</t>
        </is>
      </c>
      <c r="F115" s="16" t="inlineStr">
        <is>
          <t>—</t>
        </is>
      </c>
    </row>
    <row r="116">
      <c r="A116" s="15" t="inlineStr">
        <is>
          <t>lm_flag</t>
        </is>
      </c>
      <c r="B116" s="6" t="inlineStr">
        <is>
          <t>N</t>
        </is>
      </c>
      <c r="C116" s="6" t="inlineStr">
        <is>
          <t>Y</t>
        </is>
      </c>
      <c r="D116" s="6" t="inlineStr">
        <is>
          <t>N</t>
        </is>
      </c>
      <c r="E116" s="6" t="inlineStr">
        <is>
          <t>N</t>
        </is>
      </c>
      <c r="F116" s="6" t="inlineStr">
        <is>
          <t>N</t>
        </is>
      </c>
    </row>
    <row r="117">
      <c r="A117" s="15" t="inlineStr">
        <is>
          <t>lastcontactdate</t>
        </is>
      </c>
      <c r="B117" s="16" t="inlineStr">
        <is>
          <t>2026-04-28</t>
        </is>
      </c>
      <c r="C117" s="16" t="inlineStr">
        <is>
          <t>2026-04-20</t>
        </is>
      </c>
      <c r="D117" s="16" t="inlineStr">
        <is>
          <t>2026-02-27</t>
        </is>
      </c>
      <c r="E117" s="16" t="inlineStr">
        <is>
          <t>—</t>
        </is>
      </c>
      <c r="F117" s="16" t="inlineStr">
        <is>
          <t>2026-05-05</t>
        </is>
      </c>
    </row>
    <row r="118">
      <c r="A118" s="15" t="inlineStr">
        <is>
          <t>reasonfordefault</t>
        </is>
      </c>
      <c r="B118" s="6" t="inlineStr">
        <is>
          <t>Reduction in Borrower's Income</t>
        </is>
      </c>
      <c r="C118" s="6" t="inlineStr">
        <is>
          <t>—</t>
        </is>
      </c>
      <c r="D118" s="6" t="inlineStr">
        <is>
          <t>—</t>
        </is>
      </c>
      <c r="E118" s="6" t="inlineStr">
        <is>
          <t>Unable to Contact Borrower</t>
        </is>
      </c>
      <c r="F118" s="6" t="inlineStr">
        <is>
          <t>—</t>
        </is>
      </c>
    </row>
  </sheetData>
  <mergeCells count="14">
    <mergeCell ref="A2:F2"/>
    <mergeCell ref="A11:F11"/>
    <mergeCell ref="A10:F10"/>
    <mergeCell ref="A13:F13"/>
    <mergeCell ref="A14:F14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46" customWidth="1" min="2" max="2"/>
    <col width="18" customWidth="1" min="3" max="3"/>
    <col width="34" customWidth="1" min="4" max="4"/>
    <col width="18" customWidth="1" min="5" max="5"/>
    <col width="34" customWidth="1" min="6" max="6"/>
    <col width="18" customWidth="1" min="7" max="7"/>
    <col width="34" customWidth="1" min="8" max="8"/>
    <col width="18" customWidth="1" min="9" max="9"/>
    <col width="34" customWidth="1" min="10" max="10"/>
    <col width="18" customWidth="1" min="11" max="11"/>
    <col width="34" customWidth="1" min="12" max="12"/>
  </cols>
  <sheetData>
    <row r="1" ht="20" customHeight="1">
      <c r="A1" s="21" t="inlineStr">
        <is>
          <t>bpms.sync_loan_foreclosure — Summary/Timeline/target 主表</t>
        </is>
      </c>
    </row>
    <row r="2">
      <c r="A2" s="13" t="inlineStr">
        <is>
          <t>全 72 字段 · 取数口径：当前态(1行/贷款) · 命中 4/5 贷款（无行的贷款列显示 —） · prod 实测 2026-06-04 · 业务日 2026-06-01
⚠️ mapping 验证发现（取数公式 vs 实际 BPS，2026-06-04；prod 覆盖式刷新口径）：① summary_current_step 实际=fcstage ≠ 文档 COALESCE(currentmilestone, fcstage)，待 ETL 代码核实（doc 13 Q13）；② 多个字段在主表未填充（Newrez 源有值/BPS 空）：timeline_notice_of_intent(_end)/approved_for_referral/referred_to_attorney/foreclosure_completed、summary_servicer_number/summary_completed_foreclosure/summary_foreclosure_attorney（同源 summary_firm 却有值＝部分填充，doc 13 Q14）。红色「取数公式」格 = 公式≠实际。</t>
        </is>
      </c>
    </row>
    <row r="3" ht="56" customHeight="1">
      <c r="A3" s="14" t="inlineStr">
        <is>
          <t>查询 SQL（prod 只读）：
-- bpms.sync_loan_foreclosure · mysql_prod(只读) · 当前态 1 行/贷款 · 业务日 2026-06-01
SELECT * FROM bpms.sync_loan_foreclosure WHERE loanid IN (7727000088,7727000672,7727004200,7727000065,7727000010) ORDER BY loanid;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45" customHeight="1">
      <c r="A5" s="36" t="inlineStr">
        <is>
          <t>业务含义/目的：BPS 法拍主表(72 列，当前态)——Summary/Timeline/target 主面板的数据源。 BPS 直接对接表；法拍主面板。</t>
        </is>
      </c>
    </row>
    <row r="6" ht="30" customHeight="1">
      <c r="A6" s="36" t="inlineStr">
        <is>
          <t>何时来查：查 BPS 主面板某字段的落库值、排查面板与 Redshift 是否一致。</t>
        </is>
      </c>
    </row>
    <row r="7" ht="45" customHeight="1">
      <c r="A7" s="36" t="inlineStr">
        <is>
          <t>为什么这样处理：L4 算好后同步到 MySQL 供 BPS 读；采用覆盖更新(coverage upsert)，并对天数做 NY 当日实时校正(+DATEDIFF)。</t>
        </is>
      </c>
    </row>
    <row r="8" ht="30" customHeight="1">
      <c r="A8" s="36" t="inlineStr">
        <is>
          <t>数据粒度：1 行/贷款（过滤 timeline_referred… IS NOT NULL，即已进入法拍）。</t>
        </is>
      </c>
    </row>
    <row r="9" ht="105" customHeight="1">
      <c r="A9" s="36" t="inlineStr">
        <is>
          <t>上游链路：… → port.basic_data_loan_foreclosure(Redshift) → (sync_to_mysql/update_to_mysql df_db_util.py:665-726) → bpms.sync_loan_foreclosure〔GEN_FORECLOSURE asset_managment_config.py:535-608〕（JOIN port.portfunding 取 funding_id/bid_id）</t>
        </is>
      </c>
    </row>
    <row r="10" ht="45" customHeight="1">
      <c r="A10" s="36" t="inlineStr">
        <is>
          <t>全部上游表：port.basic_data_loan_foreclosure、port.portfunding、port.basic_data_loan_fcl</t>
        </is>
      </c>
    </row>
    <row r="11" ht="30" customHeight="1">
      <c r="A11" s="36" t="inlineStr">
        <is>
          <t>下游链路：→ bpms.biz_data_view_loan_details_foreclosure(视图) → BPS 法拍详情/主面板</t>
        </is>
      </c>
    </row>
    <row r="12" ht="30" customHeight="1">
      <c r="A12" s="36" t="inlineStr">
        <is>
          <t>全部下游表：bpms.biz_data_view_loan_details_foreclosure</t>
        </is>
      </c>
    </row>
    <row r="13" ht="30" customHeight="1">
      <c r="A13" s="36" t="inlineStr">
        <is>
          <t>备注：样例 Loan5(纯 Chapter 13 BK，未进法拍)不在本表，故本 dump 命中 4/5。</t>
        </is>
      </c>
    </row>
    <row r="14" ht="18" customHeight="1">
      <c r="A14" s="37" t="inlineStr">
        <is>
          <t>▲ 以上为「业务含义与全链路血缘」说明块；下方为原始数据 ────</t>
        </is>
      </c>
    </row>
    <row r="15">
      <c r="A15" s="10" t="inlineStr">
        <is>
          <t>字段</t>
        </is>
      </c>
      <c r="B15" s="22" t="inlineStr">
        <is>
          <t>src(Newrez)→BPS 映射规则 (doc 13/16)</t>
        </is>
      </c>
      <c r="C15" s="23" t="inlineStr">
        <is>
          <t>7727000088</t>
        </is>
      </c>
      <c r="D15" s="24" t="inlineStr">
        <is>
          <t>7727000088 取数公式</t>
        </is>
      </c>
      <c r="E15" s="23" t="inlineStr">
        <is>
          <t>7727000672</t>
        </is>
      </c>
      <c r="F15" s="24" t="inlineStr">
        <is>
          <t>7727000672 取数公式</t>
        </is>
      </c>
      <c r="G15" s="23" t="inlineStr">
        <is>
          <t>7727004200</t>
        </is>
      </c>
      <c r="H15" s="24" t="inlineStr">
        <is>
          <t>7727004200 取数公式</t>
        </is>
      </c>
      <c r="I15" s="23" t="inlineStr">
        <is>
          <t>7727000065</t>
        </is>
      </c>
      <c r="J15" s="24" t="inlineStr">
        <is>
          <t>7727000065 取数公式</t>
        </is>
      </c>
      <c r="K15" s="23" t="inlineStr">
        <is>
          <t>7727000010</t>
        </is>
      </c>
      <c r="L15" s="24" t="inlineStr">
        <is>
          <t>7727000010 取数公式</t>
        </is>
      </c>
    </row>
    <row r="16">
      <c r="A16" s="15" t="inlineStr">
        <is>
          <t>id</t>
        </is>
      </c>
      <c r="B16" s="25" t="inlineStr">
        <is>
          <t>BPS 内部生成/审计字段</t>
        </is>
      </c>
      <c r="C16" s="6" t="inlineStr">
        <is>
          <t>217</t>
        </is>
      </c>
      <c r="D16" s="26" t="inlineStr">
        <is>
          <t>— 注：BPS 内部生成/审计字段</t>
        </is>
      </c>
      <c r="E16" s="6" t="inlineStr">
        <is>
          <t>530</t>
        </is>
      </c>
      <c r="F16" s="26" t="inlineStr">
        <is>
          <t>— 注：BPS 内部生成/审计字段</t>
        </is>
      </c>
      <c r="G16" s="6" t="inlineStr">
        <is>
          <t>257</t>
        </is>
      </c>
      <c r="H16" s="27" t="inlineStr">
        <is>
          <t>— 注：BPS 内部生成/审计字段</t>
        </is>
      </c>
      <c r="I16" s="6" t="inlineStr">
        <is>
          <t>82</t>
        </is>
      </c>
      <c r="J16" s="27" t="inlineStr">
        <is>
          <t>— 注：BPS 内部生成/审计字段</t>
        </is>
      </c>
      <c r="K16" s="6" t="inlineStr">
        <is>
          <t>—</t>
        </is>
      </c>
      <c r="L16" s="27" t="inlineStr">
        <is>
          <t>— 注：BPS 内部生成/审计字段</t>
        </is>
      </c>
    </row>
    <row r="17">
      <c r="A17" s="15" t="inlineStr">
        <is>
          <t>bid_id</t>
        </is>
      </c>
      <c r="B17" s="25" t="inlineStr">
        <is>
          <t>BPS 内部生成/审计字段</t>
        </is>
      </c>
      <c r="C17" s="16" t="inlineStr">
        <is>
          <t>HMP002</t>
        </is>
      </c>
      <c r="D17" s="28" t="inlineStr">
        <is>
          <t>— 注：BPS 内部生成/审计字段</t>
        </is>
      </c>
      <c r="E17" s="16" t="inlineStr">
        <is>
          <t>IMPAC001</t>
        </is>
      </c>
      <c r="F17" s="28" t="inlineStr">
        <is>
          <t>— 注：BPS 内部生成/审计字段</t>
        </is>
      </c>
      <c r="G17" s="16" t="inlineStr">
        <is>
          <t>BOA002</t>
        </is>
      </c>
      <c r="H17" s="27" t="inlineStr">
        <is>
          <t>— 注：BPS 内部生成/审计字段</t>
        </is>
      </c>
      <c r="I17" s="16" t="inlineStr">
        <is>
          <t>HMP002</t>
        </is>
      </c>
      <c r="J17" s="27" t="inlineStr">
        <is>
          <t>— 注：BPS 内部生成/审计字段</t>
        </is>
      </c>
      <c r="K17" s="16" t="inlineStr">
        <is>
          <t>—</t>
        </is>
      </c>
      <c r="L17" s="27" t="inlineStr">
        <is>
          <t>— 注：BPS 内部生成/审计字段</t>
        </is>
      </c>
    </row>
    <row r="18">
      <c r="A18" s="15" t="inlineStr">
        <is>
          <t>funding_id</t>
        </is>
      </c>
      <c r="B18" s="25" t="inlineStr">
        <is>
          <t>BPS 内部生成/审计字段</t>
        </is>
      </c>
      <c r="C18" s="6" t="inlineStr">
        <is>
          <t>HMP002</t>
        </is>
      </c>
      <c r="D18" s="26" t="inlineStr">
        <is>
          <t>— 注：BPS 内部生成/审计字段</t>
        </is>
      </c>
      <c r="E18" s="6" t="inlineStr">
        <is>
          <t>IMPAC001</t>
        </is>
      </c>
      <c r="F18" s="26" t="inlineStr">
        <is>
          <t>— 注：BPS 内部生成/审计字段</t>
        </is>
      </c>
      <c r="G18" s="6" t="inlineStr">
        <is>
          <t>BOA002</t>
        </is>
      </c>
      <c r="H18" s="27" t="inlineStr">
        <is>
          <t>— 注：BPS 内部生成/审计字段</t>
        </is>
      </c>
      <c r="I18" s="6" t="inlineStr">
        <is>
          <t>HMP002</t>
        </is>
      </c>
      <c r="J18" s="27" t="inlineStr">
        <is>
          <t>— 注：BPS 内部生成/审计字段</t>
        </is>
      </c>
      <c r="K18" s="6" t="inlineStr">
        <is>
          <t>—</t>
        </is>
      </c>
      <c r="L18" s="27" t="inlineStr">
        <is>
          <t>— 注：BPS 内部生成/审计字段</t>
        </is>
      </c>
    </row>
    <row r="19">
      <c r="A19" s="15" t="inlineStr">
        <is>
          <t>loanid</t>
        </is>
      </c>
      <c r="B19" s="25" t="inlineStr">
        <is>
          <t>直接取值：portnewrezfc.loanid</t>
        </is>
      </c>
      <c r="C19" s="16" t="inlineStr">
        <is>
          <t>7727000088</t>
        </is>
      </c>
      <c r="D19" s="29">
        <f>'② src·portnewrezfc'!B6</f>
        <v/>
      </c>
      <c r="E19" s="16" t="inlineStr">
        <is>
          <t>7727000672</t>
        </is>
      </c>
      <c r="F19" s="29">
        <f>'② src·portnewrezfc'!C6</f>
        <v/>
      </c>
      <c r="G19" s="16" t="inlineStr">
        <is>
          <t>7727004200</t>
        </is>
      </c>
      <c r="H19" s="30">
        <f>'② src·portnewrezfc'!D6</f>
        <v/>
      </c>
      <c r="I19" s="16" t="inlineStr">
        <is>
          <t>7727000065</t>
        </is>
      </c>
      <c r="J19" s="30">
        <f>'② src·portnewrezfc'!E6</f>
        <v/>
      </c>
      <c r="K19" s="16" t="inlineStr">
        <is>
          <t>—</t>
        </is>
      </c>
      <c r="L19" s="30">
        <f>'② src·portnewrezfc'!F6</f>
        <v/>
      </c>
    </row>
    <row r="20">
      <c r="A20" s="15" t="inlineStr">
        <is>
          <t>svcloanid</t>
        </is>
      </c>
      <c r="B20" s="25" t="inlineStr">
        <is>
          <t>直接取值：portnewrezfc.shellpointloanid</t>
        </is>
      </c>
      <c r="C20" s="6" t="inlineStr">
        <is>
          <t>1031718838</t>
        </is>
      </c>
      <c r="D20" s="31">
        <f>'② src·portnewrezfc'!B8</f>
        <v/>
      </c>
      <c r="E20" s="6" t="inlineStr">
        <is>
          <t>1032761570</t>
        </is>
      </c>
      <c r="F20" s="31">
        <f>'② src·portnewrezfc'!C8</f>
        <v/>
      </c>
      <c r="G20" s="6" t="inlineStr">
        <is>
          <t>0688132141</t>
        </is>
      </c>
      <c r="H20" s="30">
        <f>'② src·portnewrezfc'!D8</f>
        <v/>
      </c>
      <c r="I20" s="6" t="inlineStr">
        <is>
          <t>1031718621</t>
        </is>
      </c>
      <c r="J20" s="30">
        <f>'② src·portnewrezfc'!E8</f>
        <v/>
      </c>
      <c r="K20" s="6" t="inlineStr">
        <is>
          <t>—</t>
        </is>
      </c>
      <c r="L20" s="30">
        <f>'② src·portnewrezfc'!F8</f>
        <v/>
      </c>
    </row>
    <row r="21">
      <c r="A21" s="15" t="inlineStr">
        <is>
          <t>servicer</t>
        </is>
      </c>
      <c r="B21" s="25" t="inlineStr">
        <is>
          <t>固定值 'Newrez'</t>
        </is>
      </c>
      <c r="C21" s="16" t="inlineStr">
        <is>
          <t>Newrez</t>
        </is>
      </c>
      <c r="D21" s="29">
        <f>"Newrez"</f>
        <v/>
      </c>
      <c r="E21" s="16" t="inlineStr">
        <is>
          <t>Newrez</t>
        </is>
      </c>
      <c r="F21" s="29">
        <f>"Newrez"</f>
        <v/>
      </c>
      <c r="G21" s="16" t="inlineStr">
        <is>
          <t>Newrez</t>
        </is>
      </c>
      <c r="H21" s="30">
        <f>"Newrez"</f>
        <v/>
      </c>
      <c r="I21" s="16" t="inlineStr">
        <is>
          <t>Newrez</t>
        </is>
      </c>
      <c r="J21" s="30">
        <f>"Newrez"</f>
        <v/>
      </c>
      <c r="K21" s="16" t="inlineStr">
        <is>
          <t>—</t>
        </is>
      </c>
      <c r="L21" s="30">
        <f>"Newrez"</f>
        <v/>
      </c>
    </row>
    <row r="22">
      <c r="A22" s="15" t="inlineStr">
        <is>
          <t>timeline_notice_of_intent_date</t>
        </is>
      </c>
      <c r="B22" s="25" t="inlineStr">
        <is>
          <t>直接取值：portnewrezfc.demandsentdate</t>
        </is>
      </c>
      <c r="C22" s="6" t="inlineStr">
        <is>
          <t>—</t>
        </is>
      </c>
      <c r="D22" s="32">
        <f>'② src·portnewrezfc'!B13</f>
        <v/>
      </c>
      <c r="E22" s="6" t="inlineStr">
        <is>
          <t>—</t>
        </is>
      </c>
      <c r="F22" s="32">
        <f>'② src·portnewrezfc'!C13</f>
        <v/>
      </c>
      <c r="G22" s="6" t="inlineStr">
        <is>
          <t>—</t>
        </is>
      </c>
      <c r="H22" s="32">
        <f>'② src·portnewrezfc'!D13</f>
        <v/>
      </c>
      <c r="I22" s="6" t="inlineStr">
        <is>
          <t>—</t>
        </is>
      </c>
      <c r="J22" s="32">
        <f>'② src·portnewrezfc'!E13</f>
        <v/>
      </c>
      <c r="K22" s="6" t="inlineStr">
        <is>
          <t>—</t>
        </is>
      </c>
      <c r="L22" s="30">
        <f>'② src·portnewrezfc'!F13</f>
        <v/>
      </c>
    </row>
    <row r="23">
      <c r="A23" s="15" t="inlineStr">
        <is>
          <t>timeline_notice_of_intent_end_date</t>
        </is>
      </c>
      <c r="B23" s="25" t="inlineStr">
        <is>
          <t>直接取值：portnewrezfc.demandexpirationdate</t>
        </is>
      </c>
      <c r="C23" s="16" t="inlineStr">
        <is>
          <t>—</t>
        </is>
      </c>
      <c r="D23" s="32">
        <f>'② src·portnewrezfc'!B14</f>
        <v/>
      </c>
      <c r="E23" s="16" t="inlineStr">
        <is>
          <t>—</t>
        </is>
      </c>
      <c r="F23" s="32">
        <f>'② src·portnewrezfc'!C14</f>
        <v/>
      </c>
      <c r="G23" s="16" t="inlineStr">
        <is>
          <t>—</t>
        </is>
      </c>
      <c r="H23" s="32">
        <f>'② src·portnewrezfc'!D14</f>
        <v/>
      </c>
      <c r="I23" s="16" t="inlineStr">
        <is>
          <t>—</t>
        </is>
      </c>
      <c r="J23" s="32">
        <f>'② src·portnewrezfc'!E14</f>
        <v/>
      </c>
      <c r="K23" s="16" t="inlineStr">
        <is>
          <t>—</t>
        </is>
      </c>
      <c r="L23" s="30">
        <f>'② src·portnewrezfc'!F14</f>
        <v/>
      </c>
    </row>
    <row r="24">
      <c r="A24" s="15" t="inlineStr">
        <is>
          <t>timeline_approved_for_referral_date</t>
        </is>
      </c>
      <c r="B24" s="25" t="inlineStr">
        <is>
          <t>直接取值：portnewrezfc.fcsetupdate</t>
        </is>
      </c>
      <c r="C24" s="6" t="inlineStr">
        <is>
          <t>—</t>
        </is>
      </c>
      <c r="D24" s="32">
        <f>'② src·portnewrezfc'!B9</f>
        <v/>
      </c>
      <c r="E24" s="6" t="inlineStr">
        <is>
          <t>—</t>
        </is>
      </c>
      <c r="F24" s="32">
        <f>'② src·portnewrezfc'!C9</f>
        <v/>
      </c>
      <c r="G24" s="6" t="inlineStr">
        <is>
          <t>—</t>
        </is>
      </c>
      <c r="H24" s="32">
        <f>'② src·portnewrezfc'!D9</f>
        <v/>
      </c>
      <c r="I24" s="6" t="inlineStr">
        <is>
          <t>—</t>
        </is>
      </c>
      <c r="J24" s="32">
        <f>'② src·portnewrezfc'!E9</f>
        <v/>
      </c>
      <c r="K24" s="6" t="inlineStr">
        <is>
          <t>—</t>
        </is>
      </c>
      <c r="L24" s="30">
        <f>'② src·portnewrezfc'!F9</f>
        <v/>
      </c>
    </row>
    <row r="25">
      <c r="A25" s="15" t="inlineStr">
        <is>
          <t>timeline_referred_to_attorney_date</t>
        </is>
      </c>
      <c r="B25" s="25" t="inlineStr">
        <is>
          <t>直接取值：portnewrezfc.fcreferraldate</t>
        </is>
      </c>
      <c r="C25" s="16" t="inlineStr">
        <is>
          <t>—</t>
        </is>
      </c>
      <c r="D25" s="32">
        <f>'② src·portnewrezfc'!B10</f>
        <v/>
      </c>
      <c r="E25" s="16" t="inlineStr">
        <is>
          <t>—</t>
        </is>
      </c>
      <c r="F25" s="32">
        <f>'② src·portnewrezfc'!C10</f>
        <v/>
      </c>
      <c r="G25" s="16" t="inlineStr">
        <is>
          <t>—</t>
        </is>
      </c>
      <c r="H25" s="32">
        <f>'② src·portnewrezfc'!D10</f>
        <v/>
      </c>
      <c r="I25" s="16" t="inlineStr">
        <is>
          <t>—</t>
        </is>
      </c>
      <c r="J25" s="32">
        <f>'② src·portnewrezfc'!E10</f>
        <v/>
      </c>
      <c r="K25" s="16" t="inlineStr">
        <is>
          <t>—</t>
        </is>
      </c>
      <c r="L25" s="30">
        <f>'② src·portnewrezfc'!F10</f>
        <v/>
      </c>
    </row>
    <row r="26">
      <c r="A26" s="15" t="inlineStr">
        <is>
          <t>timeline_referred_to_foreclosure_date</t>
        </is>
      </c>
      <c r="B26" s="25" t="inlineStr">
        <is>
          <t>直接取值：portnewrezfc.fcreferraldate</t>
        </is>
      </c>
      <c r="C26" s="6" t="inlineStr">
        <is>
          <t>2025-05-23</t>
        </is>
      </c>
      <c r="D26" s="31">
        <f>'② src·portnewrezfc'!B10</f>
        <v/>
      </c>
      <c r="E26" s="6" t="inlineStr">
        <is>
          <t>2026-03-09</t>
        </is>
      </c>
      <c r="F26" s="31">
        <f>'② src·portnewrezfc'!C10</f>
        <v/>
      </c>
      <c r="G26" s="6" t="inlineStr">
        <is>
          <t>2025-06-27</t>
        </is>
      </c>
      <c r="H26" s="30">
        <f>'② src·portnewrezfc'!D10</f>
        <v/>
      </c>
      <c r="I26" s="6" t="inlineStr">
        <is>
          <t>2025-02-03</t>
        </is>
      </c>
      <c r="J26" s="30">
        <f>'② src·portnewrezfc'!E10</f>
        <v/>
      </c>
      <c r="K26" s="6" t="inlineStr">
        <is>
          <t>—</t>
        </is>
      </c>
      <c r="L26" s="30">
        <f>'② src·portnewrezfc'!F10</f>
        <v/>
      </c>
    </row>
    <row r="27">
      <c r="A27" s="15" t="inlineStr">
        <is>
          <t>timeline_title_report_received_date</t>
        </is>
      </c>
      <c r="B27" s="25" t="inlineStr">
        <is>
          <t>直接取值：portnewrezfc.titlereceiveddate</t>
        </is>
      </c>
      <c r="C27" s="16" t="inlineStr">
        <is>
          <t>—</t>
        </is>
      </c>
      <c r="D27" s="29">
        <f>'② src·portnewrezfc'!B34</f>
        <v/>
      </c>
      <c r="E27" s="16" t="inlineStr">
        <is>
          <t>—</t>
        </is>
      </c>
      <c r="F27" s="29">
        <f>'② src·portnewrezfc'!C34</f>
        <v/>
      </c>
      <c r="G27" s="16" t="inlineStr">
        <is>
          <t>—</t>
        </is>
      </c>
      <c r="H27" s="30">
        <f>'② src·portnewrezfc'!D34</f>
        <v/>
      </c>
      <c r="I27" s="16" t="inlineStr">
        <is>
          <t>2025-12-02</t>
        </is>
      </c>
      <c r="J27" s="30">
        <f>'② src·portnewrezfc'!E34</f>
        <v/>
      </c>
      <c r="K27" s="16" t="inlineStr">
        <is>
          <t>—</t>
        </is>
      </c>
      <c r="L27" s="30">
        <f>'② src·portnewrezfc'!F34</f>
        <v/>
      </c>
    </row>
    <row r="28">
      <c r="A28" s="15" t="inlineStr">
        <is>
          <t>timeline_preliminary_title_cleared_date</t>
        </is>
      </c>
      <c r="B28" s="25" t="inlineStr">
        <is>
          <t>直接取值：portnewrezfc.titlecleardate</t>
        </is>
      </c>
      <c r="C28" s="6" t="inlineStr">
        <is>
          <t>—</t>
        </is>
      </c>
      <c r="D28" s="31">
        <f>'② src·portnewrezfc'!B33</f>
        <v/>
      </c>
      <c r="E28" s="6" t="inlineStr">
        <is>
          <t>—</t>
        </is>
      </c>
      <c r="F28" s="31">
        <f>'② src·portnewrezfc'!C33</f>
        <v/>
      </c>
      <c r="G28" s="6" t="inlineStr">
        <is>
          <t>—</t>
        </is>
      </c>
      <c r="H28" s="30">
        <f>'② src·portnewrezfc'!D33</f>
        <v/>
      </c>
      <c r="I28" s="6" t="inlineStr">
        <is>
          <t>—</t>
        </is>
      </c>
      <c r="J28" s="30">
        <f>'② src·portnewrezfc'!E33</f>
        <v/>
      </c>
      <c r="K28" s="6" t="inlineStr">
        <is>
          <t>—</t>
        </is>
      </c>
      <c r="L28" s="30">
        <f>'② src·portnewrezfc'!F33</f>
        <v/>
      </c>
    </row>
    <row r="29">
      <c r="A29" s="15" t="inlineStr">
        <is>
          <t>timeline_first_legal_date</t>
        </is>
      </c>
      <c r="B29" s="25" t="inlineStr">
        <is>
          <t>直接取值：portnewrezfc.firstlegaldate</t>
        </is>
      </c>
      <c r="C29" s="16" t="inlineStr">
        <is>
          <t>2025-06-13</t>
        </is>
      </c>
      <c r="D29" s="29">
        <f>'② src·portnewrezfc'!B30</f>
        <v/>
      </c>
      <c r="E29" s="16" t="inlineStr">
        <is>
          <t>2026-03-25</t>
        </is>
      </c>
      <c r="F29" s="29">
        <f>'② src·portnewrezfc'!C30</f>
        <v/>
      </c>
      <c r="G29" s="16" t="inlineStr">
        <is>
          <t>2025-07-21</t>
        </is>
      </c>
      <c r="H29" s="30">
        <f>'② src·portnewrezfc'!D30</f>
        <v/>
      </c>
      <c r="I29" s="16" t="inlineStr">
        <is>
          <t>2025-03-27</t>
        </is>
      </c>
      <c r="J29" s="30">
        <f>'② src·portnewrezfc'!E30</f>
        <v/>
      </c>
      <c r="K29" s="16" t="inlineStr">
        <is>
          <t>—</t>
        </is>
      </c>
      <c r="L29" s="30">
        <f>'② src·portnewrezfc'!F30</f>
        <v/>
      </c>
    </row>
    <row r="30">
      <c r="A30" s="15" t="inlineStr">
        <is>
          <t>timeline_service_date</t>
        </is>
      </c>
      <c r="B30" s="25" t="inlineStr">
        <is>
          <t>直接取值：portnewrezfc.servicecompletedate</t>
        </is>
      </c>
      <c r="C30" s="6" t="inlineStr">
        <is>
          <t>2025-07-18</t>
        </is>
      </c>
      <c r="D30" s="31">
        <f>'② src·portnewrezfc'!B31</f>
        <v/>
      </c>
      <c r="E30" s="6" t="inlineStr">
        <is>
          <t>—</t>
        </is>
      </c>
      <c r="F30" s="31">
        <f>'② src·portnewrezfc'!C31</f>
        <v/>
      </c>
      <c r="G30" s="6" t="inlineStr">
        <is>
          <t>2025-12-24</t>
        </is>
      </c>
      <c r="H30" s="30">
        <f>'② src·portnewrezfc'!D31</f>
        <v/>
      </c>
      <c r="I30" s="6" t="inlineStr">
        <is>
          <t>2025-05-03</t>
        </is>
      </c>
      <c r="J30" s="30">
        <f>'② src·portnewrezfc'!E31</f>
        <v/>
      </c>
      <c r="K30" s="6" t="inlineStr">
        <is>
          <t>—</t>
        </is>
      </c>
      <c r="L30" s="30">
        <f>'② src·portnewrezfc'!F31</f>
        <v/>
      </c>
    </row>
    <row r="31">
      <c r="A31" s="15" t="inlineStr">
        <is>
          <t>timeline_publication_date</t>
        </is>
      </c>
      <c r="B31" s="25" t="inlineStr">
        <is>
          <t>Newrez 未提供，恒空</t>
        </is>
      </c>
      <c r="C31" s="16" t="inlineStr">
        <is>
          <t>—</t>
        </is>
      </c>
      <c r="D31" s="28" t="inlineStr">
        <is>
          <t>— 注：Newrez 未提供，恒空</t>
        </is>
      </c>
      <c r="E31" s="16" t="inlineStr">
        <is>
          <t>—</t>
        </is>
      </c>
      <c r="F31" s="28" t="inlineStr">
        <is>
          <t>— 注：Newrez 未提供，恒空</t>
        </is>
      </c>
      <c r="G31" s="16" t="inlineStr">
        <is>
          <t>—</t>
        </is>
      </c>
      <c r="H31" s="27" t="inlineStr">
        <is>
          <t>— 注：Newrez 未提供，恒空</t>
        </is>
      </c>
      <c r="I31" s="16" t="inlineStr">
        <is>
          <t>—</t>
        </is>
      </c>
      <c r="J31" s="27" t="inlineStr">
        <is>
          <t>— 注：Newrez 未提供，恒空</t>
        </is>
      </c>
      <c r="K31" s="16" t="inlineStr">
        <is>
          <t>—</t>
        </is>
      </c>
      <c r="L31" s="27" t="inlineStr">
        <is>
          <t>— 注：Newrez 未提供，恒空</t>
        </is>
      </c>
    </row>
    <row r="32">
      <c r="A32" s="15" t="inlineStr">
        <is>
          <t>timeline_judgement_hearing_set_date</t>
        </is>
      </c>
      <c r="B32" s="25" t="inlineStr">
        <is>
          <t>ETL 跨快照 MIN(dataasof WHERE 值=当前)，单快照不可复现</t>
        </is>
      </c>
      <c r="C32" s="6" t="inlineStr">
        <is>
          <t>2025-12-17</t>
        </is>
      </c>
      <c r="D32" s="26" t="inlineStr">
        <is>
          <t>— 注：ETL 跨快照 MIN(dataasof WHERE 值=当前)，单快照不可复现</t>
        </is>
      </c>
      <c r="E32" s="6" t="inlineStr">
        <is>
          <t>—</t>
        </is>
      </c>
      <c r="F32" s="26" t="inlineStr">
        <is>
          <t>— 注：ETL 跨快照 MIN(dataasof WHERE 值=当前)，单快照不可复现</t>
        </is>
      </c>
      <c r="G32" s="6" t="inlineStr">
        <is>
          <t>2026-02-13</t>
        </is>
      </c>
      <c r="H32" s="27" t="inlineStr">
        <is>
          <t>— 注：ETL 跨快照 MIN(dataasof WHERE 值=当前)，单快照不可复现</t>
        </is>
      </c>
      <c r="I32" s="6" t="inlineStr">
        <is>
          <t>2025-07-15</t>
        </is>
      </c>
      <c r="J32" s="27" t="inlineStr">
        <is>
          <t>— 注：ETL 跨快照 MIN(dataasof WHERE 值=当前)，单快照不可复现</t>
        </is>
      </c>
      <c r="K32" s="6" t="inlineStr">
        <is>
          <t>—</t>
        </is>
      </c>
      <c r="L32" s="27" t="inlineStr">
        <is>
          <t>— 注：ETL 跨快照 MIN(dataasof WHERE 值=当前)，单快照不可复现</t>
        </is>
      </c>
    </row>
    <row r="33">
      <c r="A33" s="15" t="inlineStr">
        <is>
          <t>timeline_judgement_date</t>
        </is>
      </c>
      <c r="B33" s="25" t="inlineStr">
        <is>
          <t>直接取值：portnewrezfc.fcjudgmenthearingscheduled</t>
        </is>
      </c>
      <c r="C33" s="16" t="inlineStr">
        <is>
          <t>2026-03-27</t>
        </is>
      </c>
      <c r="D33" s="29">
        <f>'② src·portnewrezfc'!B24</f>
        <v/>
      </c>
      <c r="E33" s="16" t="inlineStr">
        <is>
          <t>—</t>
        </is>
      </c>
      <c r="F33" s="29">
        <f>'② src·portnewrezfc'!C24</f>
        <v/>
      </c>
      <c r="G33" s="16" t="inlineStr">
        <is>
          <t>2026-04-13</t>
        </is>
      </c>
      <c r="H33" s="30">
        <f>'② src·portnewrezfc'!D24</f>
        <v/>
      </c>
      <c r="I33" s="16" t="inlineStr">
        <is>
          <t>2025-10-15</t>
        </is>
      </c>
      <c r="J33" s="30">
        <f>'② src·portnewrezfc'!E24</f>
        <v/>
      </c>
      <c r="K33" s="16" t="inlineStr">
        <is>
          <t>—</t>
        </is>
      </c>
      <c r="L33" s="30">
        <f>'② src·portnewrezfc'!F24</f>
        <v/>
      </c>
    </row>
    <row r="34">
      <c r="A34" s="15" t="inlineStr">
        <is>
          <t>timeline_sale_date_projected_date</t>
        </is>
      </c>
      <c r="B34" s="25" t="inlineStr">
        <is>
          <t>直接取值：portnewrezfc.fcscheduledsaledate</t>
        </is>
      </c>
      <c r="C34" s="6" t="inlineStr">
        <is>
          <t>—</t>
        </is>
      </c>
      <c r="D34" s="31">
        <f>'② src·portnewrezfc'!B26</f>
        <v/>
      </c>
      <c r="E34" s="6" t="inlineStr">
        <is>
          <t>—</t>
        </is>
      </c>
      <c r="F34" s="31">
        <f>'② src·portnewrezfc'!C26</f>
        <v/>
      </c>
      <c r="G34" s="6" t="inlineStr">
        <is>
          <t>2026-05-19</t>
        </is>
      </c>
      <c r="H34" s="30">
        <f>'② src·portnewrezfc'!D26</f>
        <v/>
      </c>
      <c r="I34" s="6" t="inlineStr">
        <is>
          <t>—</t>
        </is>
      </c>
      <c r="J34" s="30">
        <f>'② src·portnewrezfc'!E26</f>
        <v/>
      </c>
      <c r="K34" s="6" t="inlineStr">
        <is>
          <t>—</t>
        </is>
      </c>
      <c r="L34" s="30">
        <f>'② src·portnewrezfc'!F26</f>
        <v/>
      </c>
    </row>
    <row r="35">
      <c r="A35" s="15" t="inlineStr">
        <is>
          <t>timeline_sale_date_set_date</t>
        </is>
      </c>
      <c r="B35" s="25" t="inlineStr">
        <is>
          <t>ETL 跨快照 MIN(dataasof WHERE 值=当前)，单快照不可复现</t>
        </is>
      </c>
      <c r="C35" s="16" t="inlineStr">
        <is>
          <t>—</t>
        </is>
      </c>
      <c r="D35" s="28" t="inlineStr">
        <is>
          <t>— 注：ETL 跨快照 MIN(dataasof WHERE 值=当前)，单快照不可复现</t>
        </is>
      </c>
      <c r="E35" s="16" t="inlineStr">
        <is>
          <t>—</t>
        </is>
      </c>
      <c r="F35" s="28" t="inlineStr">
        <is>
          <t>— 注：ETL 跨快照 MIN(dataasof WHERE 值=当前)，单快照不可复现</t>
        </is>
      </c>
      <c r="G35" s="16" t="inlineStr">
        <is>
          <t>2026-02-19</t>
        </is>
      </c>
      <c r="H35" s="27" t="inlineStr">
        <is>
          <t>— 注：ETL 跨快照 MIN(dataasof WHERE 值=当前)，单快照不可复现</t>
        </is>
      </c>
      <c r="I35" s="16" t="inlineStr">
        <is>
          <t>—</t>
        </is>
      </c>
      <c r="J35" s="27" t="inlineStr">
        <is>
          <t>— 注：ETL 跨快照 MIN(dataasof WHERE 值=当前)，单快照不可复现</t>
        </is>
      </c>
      <c r="K35" s="16" t="inlineStr">
        <is>
          <t>—</t>
        </is>
      </c>
      <c r="L35" s="27" t="inlineStr">
        <is>
          <t>— 注：ETL 跨快照 MIN(dataasof WHERE 值=当前)，单快照不可复现</t>
        </is>
      </c>
    </row>
    <row r="36">
      <c r="A36" s="15" t="inlineStr">
        <is>
          <t>timeline_final_title_cleared_date</t>
        </is>
      </c>
      <c r="B36" s="25" t="inlineStr">
        <is>
          <t>直接取值：portnewrezfc.titlecleardate</t>
        </is>
      </c>
      <c r="C36" s="6" t="inlineStr">
        <is>
          <t>—</t>
        </is>
      </c>
      <c r="D36" s="31">
        <f>'② src·portnewrezfc'!B33</f>
        <v/>
      </c>
      <c r="E36" s="6" t="inlineStr">
        <is>
          <t>—</t>
        </is>
      </c>
      <c r="F36" s="31">
        <f>'② src·portnewrezfc'!C33</f>
        <v/>
      </c>
      <c r="G36" s="6" t="inlineStr">
        <is>
          <t>—</t>
        </is>
      </c>
      <c r="H36" s="30">
        <f>'② src·portnewrezfc'!D33</f>
        <v/>
      </c>
      <c r="I36" s="6" t="inlineStr">
        <is>
          <t>—</t>
        </is>
      </c>
      <c r="J36" s="30">
        <f>'② src·portnewrezfc'!E33</f>
        <v/>
      </c>
      <c r="K36" s="6" t="inlineStr">
        <is>
          <t>—</t>
        </is>
      </c>
      <c r="L36" s="30">
        <f>'② src·portnewrezfc'!F33</f>
        <v/>
      </c>
    </row>
    <row r="37">
      <c r="A37" s="15" t="inlineStr">
        <is>
          <t>timeline_sale_date_held_date</t>
        </is>
      </c>
      <c r="B37" s="25" t="inlineStr">
        <is>
          <t>直接取值：portnewrezfc.fcsalehelddate</t>
        </is>
      </c>
      <c r="C37" s="16" t="inlineStr">
        <is>
          <t>2026-05-22</t>
        </is>
      </c>
      <c r="D37" s="29">
        <f>'② src·portnewrezfc'!B27</f>
        <v/>
      </c>
      <c r="E37" s="16" t="inlineStr">
        <is>
          <t>—</t>
        </is>
      </c>
      <c r="F37" s="29">
        <f>'② src·portnewrezfc'!C27</f>
        <v/>
      </c>
      <c r="G37" s="16" t="inlineStr">
        <is>
          <t>—</t>
        </is>
      </c>
      <c r="H37" s="30">
        <f>'② src·portnewrezfc'!D27</f>
        <v/>
      </c>
      <c r="I37" s="16" t="inlineStr">
        <is>
          <t>2025-10-14</t>
        </is>
      </c>
      <c r="J37" s="30">
        <f>'② src·portnewrezfc'!E27</f>
        <v/>
      </c>
      <c r="K37" s="16" t="inlineStr">
        <is>
          <t>—</t>
        </is>
      </c>
      <c r="L37" s="30">
        <f>'② src·portnewrezfc'!F27</f>
        <v/>
      </c>
    </row>
    <row r="38">
      <c r="A38" s="15" t="inlineStr">
        <is>
          <t>timeline_foreclosure_completed_date</t>
        </is>
      </c>
      <c r="B38" s="25" t="inlineStr">
        <is>
          <t>COALESCE(dtdeedrecorded, fcremovaldate)</t>
        </is>
      </c>
      <c r="C38" s="6" t="inlineStr">
        <is>
          <t>—</t>
        </is>
      </c>
      <c r="D38" s="32">
        <f>IF('② src·portnewrezfc'!B51&lt;&gt;"—",'② src·portnewrezfc'!B51,'② src·portnewrezfc'!B36)</f>
        <v/>
      </c>
      <c r="E38" s="6" t="inlineStr">
        <is>
          <t>—</t>
        </is>
      </c>
      <c r="F38" s="32">
        <f>IF('② src·portnewrezfc'!C51&lt;&gt;"—",'② src·portnewrezfc'!C51,'② src·portnewrezfc'!C36)</f>
        <v/>
      </c>
      <c r="G38" s="6" t="inlineStr">
        <is>
          <t>—</t>
        </is>
      </c>
      <c r="H38" s="32">
        <f>IF('② src·portnewrezfc'!D51&lt;&gt;"—",'② src·portnewrezfc'!D51,'② src·portnewrezfc'!D36)</f>
        <v/>
      </c>
      <c r="I38" s="6" t="inlineStr">
        <is>
          <t>—</t>
        </is>
      </c>
      <c r="J38" s="32">
        <f>IF('② src·portnewrezfc'!E51&lt;&gt;"—",'② src·portnewrezfc'!E51,'② src·portnewrezfc'!E36)</f>
        <v/>
      </c>
      <c r="K38" s="6" t="inlineStr">
        <is>
          <t>—</t>
        </is>
      </c>
      <c r="L38" s="30">
        <f>IF('② src·portnewrezfc'!F51&lt;&gt;"—",'② src·portnewrezfc'!F51,'② src·portnewrezfc'!F36)</f>
        <v/>
      </c>
    </row>
    <row r="39">
      <c r="A39" s="15" t="inlineStr">
        <is>
          <t>timeline_third_party_sold_date_date</t>
        </is>
      </c>
      <c r="B39" s="25" t="inlineStr">
        <is>
          <t>fcresults='3rd Party' 时取 fcsalehelddate，否则空</t>
        </is>
      </c>
      <c r="C39" s="16" t="inlineStr">
        <is>
          <t>—</t>
        </is>
      </c>
      <c r="D39" s="29">
        <f>IF('② src·portnewrezfc'!B29="3rd Party",'② src·portnewrezfc'!B27,"")</f>
        <v/>
      </c>
      <c r="E39" s="16" t="inlineStr">
        <is>
          <t>—</t>
        </is>
      </c>
      <c r="F39" s="29">
        <f>IF('② src·portnewrezfc'!C29="3rd Party",'② src·portnewrezfc'!C27,"")</f>
        <v/>
      </c>
      <c r="G39" s="16" t="inlineStr">
        <is>
          <t>—</t>
        </is>
      </c>
      <c r="H39" s="30">
        <f>IF('② src·portnewrezfc'!D29="3rd Party",'② src·portnewrezfc'!D27,"")</f>
        <v/>
      </c>
      <c r="I39" s="16" t="inlineStr">
        <is>
          <t>—</t>
        </is>
      </c>
      <c r="J39" s="30">
        <f>IF('② src·portnewrezfc'!E29="3rd Party",'② src·portnewrezfc'!E27,"")</f>
        <v/>
      </c>
      <c r="K39" s="16" t="inlineStr">
        <is>
          <t>—</t>
        </is>
      </c>
      <c r="L39" s="30">
        <f>IF('② src·portnewrezfc'!F29="3rd Party",'② src·portnewrezfc'!F27,"")</f>
        <v/>
      </c>
    </row>
    <row r="40">
      <c r="A40" s="15" t="inlineStr">
        <is>
          <t>timeline_third_party_proceeds_received_date</t>
        </is>
      </c>
      <c r="B40" s="25" t="inlineStr">
        <is>
          <t>直接取值：portnewrezfc.fcl3rdpartyproceedsreceiveddate</t>
        </is>
      </c>
      <c r="C40" s="6" t="inlineStr">
        <is>
          <t>—</t>
        </is>
      </c>
      <c r="D40" s="31">
        <f>'② src·portnewrezfc'!B53</f>
        <v/>
      </c>
      <c r="E40" s="6" t="inlineStr">
        <is>
          <t>—</t>
        </is>
      </c>
      <c r="F40" s="31">
        <f>'② src·portnewrezfc'!C53</f>
        <v/>
      </c>
      <c r="G40" s="6" t="inlineStr">
        <is>
          <t>—</t>
        </is>
      </c>
      <c r="H40" s="30">
        <f>'② src·portnewrezfc'!D53</f>
        <v/>
      </c>
      <c r="I40" s="6" t="inlineStr">
        <is>
          <t>—</t>
        </is>
      </c>
      <c r="J40" s="30">
        <f>'② src·portnewrezfc'!E53</f>
        <v/>
      </c>
      <c r="K40" s="6" t="inlineStr">
        <is>
          <t>—</t>
        </is>
      </c>
      <c r="L40" s="30">
        <f>'② src·portnewrezfc'!F53</f>
        <v/>
      </c>
    </row>
    <row r="41">
      <c r="A41" s="15" t="inlineStr">
        <is>
          <t>target_notice_of_intent_days</t>
        </is>
      </c>
      <c r="B41" s="25" t="inlineStr">
        <is>
          <t>系统配置常量（state/judicial/servicer 预设，与 Newrez 无关）</t>
        </is>
      </c>
      <c r="C41" s="16" t="inlineStr">
        <is>
          <t>30</t>
        </is>
      </c>
      <c r="D41" s="28" t="inlineStr">
        <is>
          <t>— 注：系统配置常量（state/judicial/servicer 预设，与 Newrez 无关）</t>
        </is>
      </c>
      <c r="E41" s="16" t="inlineStr">
        <is>
          <t>30</t>
        </is>
      </c>
      <c r="F41" s="28" t="inlineStr">
        <is>
          <t>— 注：系统配置常量（state/judicial/servicer 预设，与 Newrez 无关）</t>
        </is>
      </c>
      <c r="G41" s="16" t="inlineStr">
        <is>
          <t>30</t>
        </is>
      </c>
      <c r="H41" s="27" t="inlineStr">
        <is>
          <t>— 注：系统配置常量（state/judicial/servicer 预设，与 Newrez 无关）</t>
        </is>
      </c>
      <c r="I41" s="16" t="inlineStr">
        <is>
          <t>30</t>
        </is>
      </c>
      <c r="J41" s="27" t="inlineStr">
        <is>
          <t>— 注：系统配置常量（state/judicial/servicer 预设，与 Newrez 无关）</t>
        </is>
      </c>
      <c r="K41" s="16" t="inlineStr">
        <is>
          <t>—</t>
        </is>
      </c>
      <c r="L41" s="27" t="inlineStr">
        <is>
          <t>— 注：系统配置常量（state/judicial/servicer 预设，与 Newrez 无关）</t>
        </is>
      </c>
    </row>
    <row r="42">
      <c r="A42" s="15" t="inlineStr">
        <is>
          <t>target_notice_of_intent_expired_days</t>
        </is>
      </c>
      <c r="B42" s="25" t="inlineStr">
        <is>
          <t>系统配置常量（state/judicial/servicer 预设，与 Newrez 无关）</t>
        </is>
      </c>
      <c r="C42" s="6" t="inlineStr">
        <is>
          <t>90</t>
        </is>
      </c>
      <c r="D42" s="26" t="inlineStr">
        <is>
          <t>— 注：系统配置常量（state/judicial/servicer 预设，与 Newrez 无关）</t>
        </is>
      </c>
      <c r="E42" s="6" t="inlineStr">
        <is>
          <t>90</t>
        </is>
      </c>
      <c r="F42" s="26" t="inlineStr">
        <is>
          <t>— 注：系统配置常量（state/judicial/servicer 预设，与 Newrez 无关）</t>
        </is>
      </c>
      <c r="G42" s="6" t="inlineStr">
        <is>
          <t>90</t>
        </is>
      </c>
      <c r="H42" s="27" t="inlineStr">
        <is>
          <t>— 注：系统配置常量（state/judicial/servicer 预设，与 Newrez 无关）</t>
        </is>
      </c>
      <c r="I42" s="6" t="inlineStr">
        <is>
          <t>90</t>
        </is>
      </c>
      <c r="J42" s="27" t="inlineStr">
        <is>
          <t>— 注：系统配置常量（state/judicial/servicer 预设，与 Newrez 无关）</t>
        </is>
      </c>
      <c r="K42" s="6" t="inlineStr">
        <is>
          <t>—</t>
        </is>
      </c>
      <c r="L42" s="27" t="inlineStr">
        <is>
          <t>— 注：系统配置常量（state/judicial/servicer 预设，与 Newrez 无关）</t>
        </is>
      </c>
    </row>
    <row r="43">
      <c r="A43" s="15" t="inlineStr">
        <is>
          <t>target_approved_for_referral_days</t>
        </is>
      </c>
      <c r="B43" s="25" t="inlineStr">
        <is>
          <t>系统配置常量（state/judicial/servicer 预设，与 Newrez 无关）</t>
        </is>
      </c>
      <c r="C43" s="16" t="inlineStr">
        <is>
          <t>30</t>
        </is>
      </c>
      <c r="D43" s="28" t="inlineStr">
        <is>
          <t>— 注：系统配置常量（state/judicial/servicer 预设，与 Newrez 无关）</t>
        </is>
      </c>
      <c r="E43" s="16" t="inlineStr">
        <is>
          <t>30</t>
        </is>
      </c>
      <c r="F43" s="28" t="inlineStr">
        <is>
          <t>— 注：系统配置常量（state/judicial/servicer 预设，与 Newrez 无关）</t>
        </is>
      </c>
      <c r="G43" s="16" t="inlineStr">
        <is>
          <t>30</t>
        </is>
      </c>
      <c r="H43" s="27" t="inlineStr">
        <is>
          <t>— 注：系统配置常量（state/judicial/servicer 预设，与 Newrez 无关）</t>
        </is>
      </c>
      <c r="I43" s="16" t="inlineStr">
        <is>
          <t>30</t>
        </is>
      </c>
      <c r="J43" s="27" t="inlineStr">
        <is>
          <t>— 注：系统配置常量（state/judicial/servicer 预设，与 Newrez 无关）</t>
        </is>
      </c>
      <c r="K43" s="16" t="inlineStr">
        <is>
          <t>—</t>
        </is>
      </c>
      <c r="L43" s="27" t="inlineStr">
        <is>
          <t>— 注：系统配置常量（state/judicial/servicer 预设，与 Newrez 无关）</t>
        </is>
      </c>
    </row>
    <row r="44">
      <c r="A44" s="15" t="inlineStr">
        <is>
          <t>target_referred_to_attorney_days</t>
        </is>
      </c>
      <c r="B44" s="25" t="inlineStr">
        <is>
          <t>系统配置常量（state/judicial/servicer 预设，与 Newrez 无关）</t>
        </is>
      </c>
      <c r="C44" s="6" t="inlineStr">
        <is>
          <t>1</t>
        </is>
      </c>
      <c r="D44" s="26" t="inlineStr">
        <is>
          <t>— 注：系统配置常量（state/judicial/servicer 预设，与 Newrez 无关）</t>
        </is>
      </c>
      <c r="E44" s="6" t="inlineStr">
        <is>
          <t>1</t>
        </is>
      </c>
      <c r="F44" s="26" t="inlineStr">
        <is>
          <t>— 注：系统配置常量（state/judicial/servicer 预设，与 Newrez 无关）</t>
        </is>
      </c>
      <c r="G44" s="6" t="inlineStr">
        <is>
          <t>1</t>
        </is>
      </c>
      <c r="H44" s="27" t="inlineStr">
        <is>
          <t>— 注：系统配置常量（state/judicial/servicer 预设，与 Newrez 无关）</t>
        </is>
      </c>
      <c r="I44" s="6" t="inlineStr">
        <is>
          <t>1</t>
        </is>
      </c>
      <c r="J44" s="27" t="inlineStr">
        <is>
          <t>— 注：系统配置常量（state/judicial/servicer 预设，与 Newrez 无关）</t>
        </is>
      </c>
      <c r="K44" s="6" t="inlineStr">
        <is>
          <t>—</t>
        </is>
      </c>
      <c r="L44" s="27" t="inlineStr">
        <is>
          <t>— 注：系统配置常量（state/judicial/servicer 预设，与 Newrez 无关）</t>
        </is>
      </c>
    </row>
    <row r="45">
      <c r="A45" s="15" t="inlineStr">
        <is>
          <t>target_referred_to_foreclosure_days</t>
        </is>
      </c>
      <c r="B45" s="25" t="inlineStr">
        <is>
          <t>系统配置常量（state/judicial/servicer 预设，与 Newrez 无关）</t>
        </is>
      </c>
      <c r="C45" s="16" t="inlineStr">
        <is>
          <t>1</t>
        </is>
      </c>
      <c r="D45" s="28" t="inlineStr">
        <is>
          <t>— 注：系统配置常量（state/judicial/servicer 预设，与 Newrez 无关）</t>
        </is>
      </c>
      <c r="E45" s="16" t="inlineStr">
        <is>
          <t>1</t>
        </is>
      </c>
      <c r="F45" s="28" t="inlineStr">
        <is>
          <t>— 注：系统配置常量（state/judicial/servicer 预设，与 Newrez 无关）</t>
        </is>
      </c>
      <c r="G45" s="16" t="inlineStr">
        <is>
          <t>1</t>
        </is>
      </c>
      <c r="H45" s="27" t="inlineStr">
        <is>
          <t>— 注：系统配置常量（state/judicial/servicer 预设，与 Newrez 无关）</t>
        </is>
      </c>
      <c r="I45" s="16" t="inlineStr">
        <is>
          <t>1</t>
        </is>
      </c>
      <c r="J45" s="27" t="inlineStr">
        <is>
          <t>— 注：系统配置常量（state/judicial/servicer 预设，与 Newrez 无关）</t>
        </is>
      </c>
      <c r="K45" s="16" t="inlineStr">
        <is>
          <t>—</t>
        </is>
      </c>
      <c r="L45" s="27" t="inlineStr">
        <is>
          <t>— 注：系统配置常量（state/judicial/servicer 预设，与 Newrez 无关）</t>
        </is>
      </c>
    </row>
    <row r="46">
      <c r="A46" s="15" t="inlineStr">
        <is>
          <t>target_title_report_received_days</t>
        </is>
      </c>
      <c r="B46" s="25" t="inlineStr">
        <is>
          <t>系统配置常量（state/judicial/servicer 预设，与 Newrez 无关）</t>
        </is>
      </c>
      <c r="C46" s="6" t="inlineStr">
        <is>
          <t>30</t>
        </is>
      </c>
      <c r="D46" s="26" t="inlineStr">
        <is>
          <t>— 注：系统配置常量（state/judicial/servicer 预设，与 Newrez 无关）</t>
        </is>
      </c>
      <c r="E46" s="6" t="inlineStr">
        <is>
          <t>30</t>
        </is>
      </c>
      <c r="F46" s="26" t="inlineStr">
        <is>
          <t>— 注：系统配置常量（state/judicial/servicer 预设，与 Newrez 无关）</t>
        </is>
      </c>
      <c r="G46" s="6" t="inlineStr">
        <is>
          <t>30</t>
        </is>
      </c>
      <c r="H46" s="27" t="inlineStr">
        <is>
          <t>— 注：系统配置常量（state/judicial/servicer 预设，与 Newrez 无关）</t>
        </is>
      </c>
      <c r="I46" s="6" t="inlineStr">
        <is>
          <t>30</t>
        </is>
      </c>
      <c r="J46" s="27" t="inlineStr">
        <is>
          <t>— 注：系统配置常量（state/judicial/servicer 预设，与 Newrez 无关）</t>
        </is>
      </c>
      <c r="K46" s="6" t="inlineStr">
        <is>
          <t>—</t>
        </is>
      </c>
      <c r="L46" s="27" t="inlineStr">
        <is>
          <t>— 注：系统配置常量（state/judicial/servicer 预设，与 Newrez 无关）</t>
        </is>
      </c>
    </row>
    <row r="47">
      <c r="A47" s="15" t="inlineStr">
        <is>
          <t>target_preliminary_title_cleared_days</t>
        </is>
      </c>
      <c r="B47" s="25" t="inlineStr">
        <is>
          <t>系统配置常量（state/judicial/servicer 预设，与 Newrez 无关）</t>
        </is>
      </c>
      <c r="C47" s="16" t="inlineStr">
        <is>
          <t>30</t>
        </is>
      </c>
      <c r="D47" s="28" t="inlineStr">
        <is>
          <t>— 注：系统配置常量（state/judicial/servicer 预设，与 Newrez 无关）</t>
        </is>
      </c>
      <c r="E47" s="16" t="inlineStr">
        <is>
          <t>30</t>
        </is>
      </c>
      <c r="F47" s="28" t="inlineStr">
        <is>
          <t>— 注：系统配置常量（state/judicial/servicer 预设，与 Newrez 无关）</t>
        </is>
      </c>
      <c r="G47" s="16" t="inlineStr">
        <is>
          <t>30</t>
        </is>
      </c>
      <c r="H47" s="27" t="inlineStr">
        <is>
          <t>— 注：系统配置常量（state/judicial/servicer 预设，与 Newrez 无关）</t>
        </is>
      </c>
      <c r="I47" s="16" t="inlineStr">
        <is>
          <t>30</t>
        </is>
      </c>
      <c r="J47" s="27" t="inlineStr">
        <is>
          <t>— 注：系统配置常量（state/judicial/servicer 预设，与 Newrez 无关）</t>
        </is>
      </c>
      <c r="K47" s="16" t="inlineStr">
        <is>
          <t>—</t>
        </is>
      </c>
      <c r="L47" s="27" t="inlineStr">
        <is>
          <t>— 注：系统配置常量（state/judicial/servicer 预设，与 Newrez 无关）</t>
        </is>
      </c>
    </row>
    <row r="48">
      <c r="A48" s="15" t="inlineStr">
        <is>
          <t>target_first_legal_days</t>
        </is>
      </c>
      <c r="B48" s="25" t="inlineStr">
        <is>
          <t>系统配置常量（state/judicial/servicer 预设，与 Newrez 无关）</t>
        </is>
      </c>
      <c r="C48" s="6" t="inlineStr">
        <is>
          <t>120</t>
        </is>
      </c>
      <c r="D48" s="26" t="inlineStr">
        <is>
          <t>— 注：系统配置常量（state/judicial/servicer 预设，与 Newrez 无关）</t>
        </is>
      </c>
      <c r="E48" s="6" t="inlineStr">
        <is>
          <t>120</t>
        </is>
      </c>
      <c r="F48" s="26" t="inlineStr">
        <is>
          <t>— 注：系统配置常量（state/judicial/servicer 预设，与 Newrez 无关）</t>
        </is>
      </c>
      <c r="G48" s="6" t="inlineStr">
        <is>
          <t>120</t>
        </is>
      </c>
      <c r="H48" s="27" t="inlineStr">
        <is>
          <t>— 注：系统配置常量（state/judicial/servicer 预设，与 Newrez 无关）</t>
        </is>
      </c>
      <c r="I48" s="6" t="inlineStr">
        <is>
          <t>120</t>
        </is>
      </c>
      <c r="J48" s="27" t="inlineStr">
        <is>
          <t>— 注：系统配置常量（state/judicial/servicer 预设，与 Newrez 无关）</t>
        </is>
      </c>
      <c r="K48" s="6" t="inlineStr">
        <is>
          <t>—</t>
        </is>
      </c>
      <c r="L48" s="27" t="inlineStr">
        <is>
          <t>— 注：系统配置常量（state/judicial/servicer 预设，与 Newrez 无关）</t>
        </is>
      </c>
    </row>
    <row r="49">
      <c r="A49" s="15" t="inlineStr">
        <is>
          <t>target_service_days</t>
        </is>
      </c>
      <c r="B49" s="25" t="inlineStr">
        <is>
          <t>系统配置常量（state/judicial/servicer 预设，与 Newrez 无关）</t>
        </is>
      </c>
      <c r="C49" s="16" t="inlineStr">
        <is>
          <t>90</t>
        </is>
      </c>
      <c r="D49" s="28" t="inlineStr">
        <is>
          <t>— 注：系统配置常量（state/judicial/servicer 预设，与 Newrez 无关）</t>
        </is>
      </c>
      <c r="E49" s="16" t="inlineStr">
        <is>
          <t>90</t>
        </is>
      </c>
      <c r="F49" s="28" t="inlineStr">
        <is>
          <t>— 注：系统配置常量（state/judicial/servicer 预设，与 Newrez 无关）</t>
        </is>
      </c>
      <c r="G49" s="16" t="inlineStr">
        <is>
          <t>90</t>
        </is>
      </c>
      <c r="H49" s="27" t="inlineStr">
        <is>
          <t>— 注：系统配置常量（state/judicial/servicer 预设，与 Newrez 无关）</t>
        </is>
      </c>
      <c r="I49" s="16" t="inlineStr">
        <is>
          <t>90</t>
        </is>
      </c>
      <c r="J49" s="27" t="inlineStr">
        <is>
          <t>— 注：系统配置常量（state/judicial/servicer 预设，与 Newrez 无关）</t>
        </is>
      </c>
      <c r="K49" s="16" t="inlineStr">
        <is>
          <t>—</t>
        </is>
      </c>
      <c r="L49" s="27" t="inlineStr">
        <is>
          <t>— 注：系统配置常量（state/judicial/servicer 预设，与 Newrez 无关）</t>
        </is>
      </c>
    </row>
    <row r="50">
      <c r="A50" s="15" t="inlineStr">
        <is>
          <t>target_publication_days</t>
        </is>
      </c>
      <c r="B50" s="25" t="inlineStr">
        <is>
          <t>系统配置常量（state/judicial/servicer 预设，与 Newrez 无关）</t>
        </is>
      </c>
      <c r="C50" s="6" t="inlineStr">
        <is>
          <t>30</t>
        </is>
      </c>
      <c r="D50" s="26" t="inlineStr">
        <is>
          <t>— 注：系统配置常量（state/judicial/servicer 预设，与 Newrez 无关）</t>
        </is>
      </c>
      <c r="E50" s="6" t="inlineStr">
        <is>
          <t>30</t>
        </is>
      </c>
      <c r="F50" s="26" t="inlineStr">
        <is>
          <t>— 注：系统配置常量（state/judicial/servicer 预设，与 Newrez 无关）</t>
        </is>
      </c>
      <c r="G50" s="6" t="inlineStr">
        <is>
          <t>30</t>
        </is>
      </c>
      <c r="H50" s="27" t="inlineStr">
        <is>
          <t>— 注：系统配置常量（state/judicial/servicer 预设，与 Newrez 无关）</t>
        </is>
      </c>
      <c r="I50" s="6" t="inlineStr">
        <is>
          <t>30</t>
        </is>
      </c>
      <c r="J50" s="27" t="inlineStr">
        <is>
          <t>— 注：系统配置常量（state/judicial/servicer 预设，与 Newrez 无关）</t>
        </is>
      </c>
      <c r="K50" s="6" t="inlineStr">
        <is>
          <t>—</t>
        </is>
      </c>
      <c r="L50" s="27" t="inlineStr">
        <is>
          <t>— 注：系统配置常量（state/judicial/servicer 预设，与 Newrez 无关）</t>
        </is>
      </c>
    </row>
    <row r="51">
      <c r="A51" s="15" t="inlineStr">
        <is>
          <t>target_judgement_hearing_set_days</t>
        </is>
      </c>
      <c r="B51" s="25" t="inlineStr">
        <is>
          <t>系统配置常量（state/judicial/servicer 预设，与 Newrez 无关）</t>
        </is>
      </c>
      <c r="C51" s="16" t="inlineStr">
        <is>
          <t>120</t>
        </is>
      </c>
      <c r="D51" s="28" t="inlineStr">
        <is>
          <t>— 注：系统配置常量（state/judicial/servicer 预设，与 Newrez 无关）</t>
        </is>
      </c>
      <c r="E51" s="16" t="inlineStr">
        <is>
          <t>120</t>
        </is>
      </c>
      <c r="F51" s="28" t="inlineStr">
        <is>
          <t>— 注：系统配置常量（state/judicial/servicer 预设，与 Newrez 无关）</t>
        </is>
      </c>
      <c r="G51" s="16" t="inlineStr">
        <is>
          <t>120</t>
        </is>
      </c>
      <c r="H51" s="27" t="inlineStr">
        <is>
          <t>— 注：系统配置常量（state/judicial/servicer 预设，与 Newrez 无关）</t>
        </is>
      </c>
      <c r="I51" s="16" t="inlineStr">
        <is>
          <t>120</t>
        </is>
      </c>
      <c r="J51" s="27" t="inlineStr">
        <is>
          <t>— 注：系统配置常量（state/judicial/servicer 预设，与 Newrez 无关）</t>
        </is>
      </c>
      <c r="K51" s="16" t="inlineStr">
        <is>
          <t>—</t>
        </is>
      </c>
      <c r="L51" s="27" t="inlineStr">
        <is>
          <t>— 注：系统配置常量（state/judicial/servicer 预设，与 Newrez 无关）</t>
        </is>
      </c>
    </row>
    <row r="52">
      <c r="A52" s="15" t="inlineStr">
        <is>
          <t>target_judgement_days</t>
        </is>
      </c>
      <c r="B52" s="25" t="inlineStr">
        <is>
          <t>系统配置常量（state/judicial/servicer 预设，与 Newrez 无关）</t>
        </is>
      </c>
      <c r="C52" s="6" t="inlineStr">
        <is>
          <t>30</t>
        </is>
      </c>
      <c r="D52" s="26" t="inlineStr">
        <is>
          <t>— 注：系统配置常量（state/judicial/servicer 预设，与 Newrez 无关）</t>
        </is>
      </c>
      <c r="E52" s="6" t="inlineStr">
        <is>
          <t>30</t>
        </is>
      </c>
      <c r="F52" s="26" t="inlineStr">
        <is>
          <t>— 注：系统配置常量（state/judicial/servicer 预设，与 Newrez 无关）</t>
        </is>
      </c>
      <c r="G52" s="6" t="inlineStr">
        <is>
          <t>30</t>
        </is>
      </c>
      <c r="H52" s="27" t="inlineStr">
        <is>
          <t>— 注：系统配置常量（state/judicial/servicer 预设，与 Newrez 无关）</t>
        </is>
      </c>
      <c r="I52" s="6" t="inlineStr">
        <is>
          <t>30</t>
        </is>
      </c>
      <c r="J52" s="27" t="inlineStr">
        <is>
          <t>— 注：系统配置常量（state/judicial/servicer 预设，与 Newrez 无关）</t>
        </is>
      </c>
      <c r="K52" s="6" t="inlineStr">
        <is>
          <t>—</t>
        </is>
      </c>
      <c r="L52" s="27" t="inlineStr">
        <is>
          <t>— 注：系统配置常量（state/judicial/servicer 预设，与 Newrez 无关）</t>
        </is>
      </c>
    </row>
    <row r="53">
      <c r="A53" s="15" t="inlineStr">
        <is>
          <t>target_sale_date_set_days</t>
        </is>
      </c>
      <c r="B53" s="25" t="inlineStr">
        <is>
          <t>系统配置常量（state/judicial/servicer 预设，与 Newrez 无关）</t>
        </is>
      </c>
      <c r="C53" s="16" t="inlineStr">
        <is>
          <t>30</t>
        </is>
      </c>
      <c r="D53" s="28" t="inlineStr">
        <is>
          <t>— 注：系统配置常量（state/judicial/servicer 预设，与 Newrez 无关）</t>
        </is>
      </c>
      <c r="E53" s="16" t="inlineStr">
        <is>
          <t>30</t>
        </is>
      </c>
      <c r="F53" s="28" t="inlineStr">
        <is>
          <t>— 注：系统配置常量（state/judicial/servicer 预设，与 Newrez 无关）</t>
        </is>
      </c>
      <c r="G53" s="16" t="inlineStr">
        <is>
          <t>30</t>
        </is>
      </c>
      <c r="H53" s="27" t="inlineStr">
        <is>
          <t>— 注：系统配置常量（state/judicial/servicer 预设，与 Newrez 无关）</t>
        </is>
      </c>
      <c r="I53" s="16" t="inlineStr">
        <is>
          <t>30</t>
        </is>
      </c>
      <c r="J53" s="27" t="inlineStr">
        <is>
          <t>— 注：系统配置常量（state/judicial/servicer 预设，与 Newrez 无关）</t>
        </is>
      </c>
      <c r="K53" s="16" t="inlineStr">
        <is>
          <t>—</t>
        </is>
      </c>
      <c r="L53" s="27" t="inlineStr">
        <is>
          <t>— 注：系统配置常量（state/judicial/servicer 预设，与 Newrez 无关）</t>
        </is>
      </c>
    </row>
    <row r="54">
      <c r="A54" s="15" t="inlineStr">
        <is>
          <t>target_final_title_cleared_days</t>
        </is>
      </c>
      <c r="B54" s="25" t="inlineStr">
        <is>
          <t>系统配置常量（state/judicial/servicer 预设，与 Newrez 无关）</t>
        </is>
      </c>
      <c r="C54" s="6" t="inlineStr">
        <is>
          <t>5</t>
        </is>
      </c>
      <c r="D54" s="26" t="inlineStr">
        <is>
          <t>— 注：系统配置常量（state/judicial/servicer 预设，与 Newrez 无关）</t>
        </is>
      </c>
      <c r="E54" s="6" t="inlineStr">
        <is>
          <t>5</t>
        </is>
      </c>
      <c r="F54" s="26" t="inlineStr">
        <is>
          <t>— 注：系统配置常量（state/judicial/servicer 预设，与 Newrez 无关）</t>
        </is>
      </c>
      <c r="G54" s="6" t="inlineStr">
        <is>
          <t>5</t>
        </is>
      </c>
      <c r="H54" s="27" t="inlineStr">
        <is>
          <t>— 注：系统配置常量（state/judicial/servicer 预设，与 Newrez 无关）</t>
        </is>
      </c>
      <c r="I54" s="6" t="inlineStr">
        <is>
          <t>5</t>
        </is>
      </c>
      <c r="J54" s="27" t="inlineStr">
        <is>
          <t>— 注：系统配置常量（state/judicial/servicer 预设，与 Newrez 无关）</t>
        </is>
      </c>
      <c r="K54" s="6" t="inlineStr">
        <is>
          <t>—</t>
        </is>
      </c>
      <c r="L54" s="27" t="inlineStr">
        <is>
          <t>— 注：系统配置常量（state/judicial/servicer 预设，与 Newrez 无关）</t>
        </is>
      </c>
    </row>
    <row r="55">
      <c r="A55" s="15" t="inlineStr">
        <is>
          <t>target_sale_date_held_days</t>
        </is>
      </c>
      <c r="B55" s="25" t="inlineStr">
        <is>
          <t>系统配置常量（state/judicial/servicer 预设，与 Newrez 无关）</t>
        </is>
      </c>
      <c r="C55" s="16" t="inlineStr">
        <is>
          <t>0</t>
        </is>
      </c>
      <c r="D55" s="28" t="inlineStr">
        <is>
          <t>— 注：系统配置常量（state/judicial/servicer 预设，与 Newrez 无关）</t>
        </is>
      </c>
      <c r="E55" s="16" t="inlineStr">
        <is>
          <t>0</t>
        </is>
      </c>
      <c r="F55" s="28" t="inlineStr">
        <is>
          <t>— 注：系统配置常量（state/judicial/servicer 预设，与 Newrez 无关）</t>
        </is>
      </c>
      <c r="G55" s="16" t="inlineStr">
        <is>
          <t>0</t>
        </is>
      </c>
      <c r="H55" s="27" t="inlineStr">
        <is>
          <t>— 注：系统配置常量（state/judicial/servicer 预设，与 Newrez 无关）</t>
        </is>
      </c>
      <c r="I55" s="16" t="inlineStr">
        <is>
          <t>0</t>
        </is>
      </c>
      <c r="J55" s="27" t="inlineStr">
        <is>
          <t>— 注：系统配置常量（state/judicial/servicer 预设，与 Newrez 无关）</t>
        </is>
      </c>
      <c r="K55" s="16" t="inlineStr">
        <is>
          <t>—</t>
        </is>
      </c>
      <c r="L55" s="27" t="inlineStr">
        <is>
          <t>— 注：系统配置常量（state/judicial/servicer 预设，与 Newrez 无关）</t>
        </is>
      </c>
    </row>
    <row r="56">
      <c r="A56" s="15" t="inlineStr">
        <is>
          <t>variance_active_bankruptcy</t>
        </is>
      </c>
      <c r="B56" s="25" t="inlineStr">
        <is>
          <t>BPS 计算（部分来自 portnewrezbk，非单字段直取）</t>
        </is>
      </c>
      <c r="C56" s="6" t="inlineStr">
        <is>
          <t>—</t>
        </is>
      </c>
      <c r="D56" s="26" t="inlineStr">
        <is>
          <t>— 注：BPS 计算（部分来自 portnewrezbk，非单字段直取）</t>
        </is>
      </c>
      <c r="E56" s="6" t="inlineStr">
        <is>
          <t>—</t>
        </is>
      </c>
      <c r="F56" s="26" t="inlineStr">
        <is>
          <t>— 注：BPS 计算（部分来自 portnewrezbk，非单字段直取）</t>
        </is>
      </c>
      <c r="G56" s="6" t="inlineStr">
        <is>
          <t>—</t>
        </is>
      </c>
      <c r="H56" s="27" t="inlineStr">
        <is>
          <t>— 注：BPS 计算（部分来自 portnewrezbk，非单字段直取）</t>
        </is>
      </c>
      <c r="I56" s="6" t="inlineStr">
        <is>
          <t>—</t>
        </is>
      </c>
      <c r="J56" s="27" t="inlineStr">
        <is>
          <t>— 注：BPS 计算（部分来自 portnewrezbk，非单字段直取）</t>
        </is>
      </c>
      <c r="K56" s="6" t="inlineStr">
        <is>
          <t>—</t>
        </is>
      </c>
      <c r="L56" s="27" t="inlineStr">
        <is>
          <t>— 注：BPS 计算（部分来自 portnewrezbk，非单字段直取）</t>
        </is>
      </c>
    </row>
    <row r="57">
      <c r="A57" s="15" t="inlineStr">
        <is>
          <t>variance_completed_bankruptcy</t>
        </is>
      </c>
      <c r="B57" s="25" t="inlineStr">
        <is>
          <t>BPS 计算（部分来自 portnewrezbk，非单字段直取）</t>
        </is>
      </c>
      <c r="C57" s="16" t="inlineStr">
        <is>
          <t>—</t>
        </is>
      </c>
      <c r="D57" s="28" t="inlineStr">
        <is>
          <t>— 注：BPS 计算（部分来自 portnewrezbk，非单字段直取）</t>
        </is>
      </c>
      <c r="E57" s="16" t="inlineStr">
        <is>
          <t>—</t>
        </is>
      </c>
      <c r="F57" s="28" t="inlineStr">
        <is>
          <t>— 注：BPS 计算（部分来自 portnewrezbk，非单字段直取）</t>
        </is>
      </c>
      <c r="G57" s="16" t="inlineStr">
        <is>
          <t>—</t>
        </is>
      </c>
      <c r="H57" s="27" t="inlineStr">
        <is>
          <t>— 注：BPS 计算（部分来自 portnewrezbk，非单字段直取）</t>
        </is>
      </c>
      <c r="I57" s="16" t="inlineStr">
        <is>
          <t>—</t>
        </is>
      </c>
      <c r="J57" s="27" t="inlineStr">
        <is>
          <t>— 注：BPS 计算（部分来自 portnewrezbk，非单字段直取）</t>
        </is>
      </c>
      <c r="K57" s="16" t="inlineStr">
        <is>
          <t>—</t>
        </is>
      </c>
      <c r="L57" s="27" t="inlineStr">
        <is>
          <t>— 注：BPS 计算（部分来自 portnewrezbk，非单字段直取）</t>
        </is>
      </c>
    </row>
    <row r="58">
      <c r="A58" s="15" t="inlineStr">
        <is>
          <t>variance_estimated_hold_days</t>
        </is>
      </c>
      <c r="B58" s="25" t="inlineStr">
        <is>
          <t>BPS 计算（部分来自 portnewrezbk，非单字段直取）</t>
        </is>
      </c>
      <c r="C58" s="6" t="inlineStr">
        <is>
          <t>—</t>
        </is>
      </c>
      <c r="D58" s="26" t="inlineStr">
        <is>
          <t>— 注：BPS 计算（部分来自 portnewrezbk，非单字段直取）</t>
        </is>
      </c>
      <c r="E58" s="6" t="inlineStr">
        <is>
          <t>—</t>
        </is>
      </c>
      <c r="F58" s="26" t="inlineStr">
        <is>
          <t>— 注：BPS 计算（部分来自 portnewrezbk，非单字段直取）</t>
        </is>
      </c>
      <c r="G58" s="6" t="inlineStr">
        <is>
          <t>—</t>
        </is>
      </c>
      <c r="H58" s="27" t="inlineStr">
        <is>
          <t>— 注：BPS 计算（部分来自 portnewrezbk，非单字段直取）</t>
        </is>
      </c>
      <c r="I58" s="6" t="inlineStr">
        <is>
          <t>—</t>
        </is>
      </c>
      <c r="J58" s="27" t="inlineStr">
        <is>
          <t>— 注：BPS 计算（部分来自 portnewrezbk，非单字段直取）</t>
        </is>
      </c>
      <c r="K58" s="6" t="inlineStr">
        <is>
          <t>—</t>
        </is>
      </c>
      <c r="L58" s="27" t="inlineStr">
        <is>
          <t>— 注：BPS 计算（部分来自 portnewrezbk，非单字段直取）</t>
        </is>
      </c>
    </row>
    <row r="59">
      <c r="A59" s="15" t="inlineStr">
        <is>
          <t>variance_bankruptcies</t>
        </is>
      </c>
      <c r="B59" s="25" t="inlineStr">
        <is>
          <t>BPS 计算（部分来自 portnewrezbk，非单字段直取）</t>
        </is>
      </c>
      <c r="C59" s="16" t="inlineStr">
        <is>
          <t>—</t>
        </is>
      </c>
      <c r="D59" s="28" t="inlineStr">
        <is>
          <t>— 注：BPS 计算（部分来自 portnewrezbk，非单字段直取）</t>
        </is>
      </c>
      <c r="E59" s="16" t="inlineStr">
        <is>
          <t>—</t>
        </is>
      </c>
      <c r="F59" s="28" t="inlineStr">
        <is>
          <t>— 注：BPS 计算（部分来自 portnewrezbk，非单字段直取）</t>
        </is>
      </c>
      <c r="G59" s="16" t="inlineStr">
        <is>
          <t>—</t>
        </is>
      </c>
      <c r="H59" s="27" t="inlineStr">
        <is>
          <t>— 注：BPS 计算（部分来自 portnewrezbk，非单字段直取）</t>
        </is>
      </c>
      <c r="I59" s="16" t="inlineStr">
        <is>
          <t>—</t>
        </is>
      </c>
      <c r="J59" s="27" t="inlineStr">
        <is>
          <t>— 注：BPS 计算（部分来自 portnewrezbk，非单字段直取）</t>
        </is>
      </c>
      <c r="K59" s="16" t="inlineStr">
        <is>
          <t>—</t>
        </is>
      </c>
      <c r="L59" s="27" t="inlineStr">
        <is>
          <t>— 注：BPS 计算（部分来自 portnewrezbk，非单字段直取）</t>
        </is>
      </c>
    </row>
    <row r="60">
      <c r="A60" s="15" t="inlineStr">
        <is>
          <t>bid_approval_status</t>
        </is>
      </c>
      <c r="B60" s="25" t="inlineStr">
        <is>
          <t>BPS 内部工作流字段（非 Newrez）</t>
        </is>
      </c>
      <c r="C60" s="6" t="inlineStr">
        <is>
          <t>—</t>
        </is>
      </c>
      <c r="D60" s="26" t="inlineStr">
        <is>
          <t>— 注：BPS 内部工作流字段（非 Newrez）</t>
        </is>
      </c>
      <c r="E60" s="6" t="inlineStr">
        <is>
          <t>—</t>
        </is>
      </c>
      <c r="F60" s="26" t="inlineStr">
        <is>
          <t>— 注：BPS 内部工作流字段（非 Newrez）</t>
        </is>
      </c>
      <c r="G60" s="6" t="inlineStr">
        <is>
          <t>—</t>
        </is>
      </c>
      <c r="H60" s="27" t="inlineStr">
        <is>
          <t>— 注：BPS 内部工作流字段（非 Newrez）</t>
        </is>
      </c>
      <c r="I60" s="6" t="inlineStr">
        <is>
          <t>—</t>
        </is>
      </c>
      <c r="J60" s="27" t="inlineStr">
        <is>
          <t>— 注：BPS 内部工作流字段（非 Newrez）</t>
        </is>
      </c>
      <c r="K60" s="6" t="inlineStr">
        <is>
          <t>—</t>
        </is>
      </c>
      <c r="L60" s="27" t="inlineStr">
        <is>
          <t>— 注：BPS 内部工作流字段（非 Newrez）</t>
        </is>
      </c>
    </row>
    <row r="61">
      <c r="A61" s="15" t="inlineStr">
        <is>
          <t>bid_approval_sale_date</t>
        </is>
      </c>
      <c r="B61" s="25" t="inlineStr">
        <is>
          <t>直接取值：portnewrezfc.fcscheduledsaledate</t>
        </is>
      </c>
      <c r="C61" s="16" t="inlineStr">
        <is>
          <t>—</t>
        </is>
      </c>
      <c r="D61" s="29">
        <f>'② src·portnewrezfc'!B26</f>
        <v/>
      </c>
      <c r="E61" s="16" t="inlineStr">
        <is>
          <t>—</t>
        </is>
      </c>
      <c r="F61" s="29">
        <f>'② src·portnewrezfc'!C26</f>
        <v/>
      </c>
      <c r="G61" s="16" t="inlineStr">
        <is>
          <t>—</t>
        </is>
      </c>
      <c r="H61" s="32">
        <f>'② src·portnewrezfc'!D26</f>
        <v/>
      </c>
      <c r="I61" s="16" t="inlineStr">
        <is>
          <t>—</t>
        </is>
      </c>
      <c r="J61" s="30">
        <f>'② src·portnewrezfc'!E26</f>
        <v/>
      </c>
      <c r="K61" s="16" t="inlineStr">
        <is>
          <t>—</t>
        </is>
      </c>
      <c r="L61" s="30">
        <f>'② src·portnewrezfc'!F26</f>
        <v/>
      </c>
    </row>
    <row r="62">
      <c r="A62" s="15" t="inlineStr">
        <is>
          <t>bid_approval_bid_amount</t>
        </is>
      </c>
      <c r="B62" s="25" t="inlineStr">
        <is>
          <t>直接取值：portnewrezfc.fcapprbidprice</t>
        </is>
      </c>
      <c r="C62" s="6" t="inlineStr">
        <is>
          <t>301500</t>
        </is>
      </c>
      <c r="D62" s="31">
        <f>'② src·portnewrezfc'!B52</f>
        <v/>
      </c>
      <c r="E62" s="6" t="inlineStr">
        <is>
          <t>—</t>
        </is>
      </c>
      <c r="F62" s="31">
        <f>'② src·portnewrezfc'!C52</f>
        <v/>
      </c>
      <c r="G62" s="6" t="inlineStr">
        <is>
          <t>—</t>
        </is>
      </c>
      <c r="H62" s="30">
        <f>'② src·portnewrezfc'!D52</f>
        <v/>
      </c>
      <c r="I62" s="6" t="inlineStr">
        <is>
          <t>390832.5</t>
        </is>
      </c>
      <c r="J62" s="30">
        <f>'② src·portnewrezfc'!E52</f>
        <v/>
      </c>
      <c r="K62" s="6" t="inlineStr">
        <is>
          <t>—</t>
        </is>
      </c>
      <c r="L62" s="30">
        <f>'② src·portnewrezfc'!F52</f>
        <v/>
      </c>
    </row>
    <row r="63">
      <c r="A63" s="15" t="inlineStr">
        <is>
          <t>bid_approval_loan_resolution_holods</t>
        </is>
      </c>
      <c r="B63" s="25" t="inlineStr">
        <is>
          <t>BPS 拼接 fchold1/2/3description</t>
        </is>
      </c>
      <c r="C63" s="16" t="inlineStr">
        <is>
          <t>—</t>
        </is>
      </c>
      <c r="D63" s="28" t="inlineStr">
        <is>
          <t>— 注：BPS 拼接 fchold1/2/3description</t>
        </is>
      </c>
      <c r="E63" s="16" t="inlineStr">
        <is>
          <t>—</t>
        </is>
      </c>
      <c r="F63" s="28" t="inlineStr">
        <is>
          <t>— 注：BPS 拼接 fchold1/2/3description</t>
        </is>
      </c>
      <c r="G63" s="16" t="inlineStr">
        <is>
          <t>—</t>
        </is>
      </c>
      <c r="H63" s="27" t="inlineStr">
        <is>
          <t>— 注：BPS 拼接 fchold1/2/3description</t>
        </is>
      </c>
      <c r="I63" s="16" t="inlineStr">
        <is>
          <t>—</t>
        </is>
      </c>
      <c r="J63" s="27" t="inlineStr">
        <is>
          <t>— 注：BPS 拼接 fchold1/2/3description</t>
        </is>
      </c>
      <c r="K63" s="16" t="inlineStr">
        <is>
          <t>—</t>
        </is>
      </c>
      <c r="L63" s="27" t="inlineStr">
        <is>
          <t>— 注：BPS 拼接 fchold1/2/3description</t>
        </is>
      </c>
    </row>
    <row r="64">
      <c r="A64" s="15" t="inlineStr">
        <is>
          <t>summary_servicer_number</t>
        </is>
      </c>
      <c r="B64" s="25" t="inlineStr">
        <is>
          <t>直接取值：portnewrezfc.shellpointloanid</t>
        </is>
      </c>
      <c r="C64" s="6" t="inlineStr">
        <is>
          <t>—</t>
        </is>
      </c>
      <c r="D64" s="32">
        <f>'② src·portnewrezfc'!B8</f>
        <v/>
      </c>
      <c r="E64" s="6" t="inlineStr">
        <is>
          <t>—</t>
        </is>
      </c>
      <c r="F64" s="32">
        <f>'② src·portnewrezfc'!C8</f>
        <v/>
      </c>
      <c r="G64" s="6" t="inlineStr">
        <is>
          <t>—</t>
        </is>
      </c>
      <c r="H64" s="32">
        <f>'② src·portnewrezfc'!D8</f>
        <v/>
      </c>
      <c r="I64" s="6" t="inlineStr">
        <is>
          <t>—</t>
        </is>
      </c>
      <c r="J64" s="32">
        <f>'② src·portnewrezfc'!E8</f>
        <v/>
      </c>
      <c r="K64" s="6" t="inlineStr">
        <is>
          <t>—</t>
        </is>
      </c>
      <c r="L64" s="30">
        <f>'② src·portnewrezfc'!F8</f>
        <v/>
      </c>
    </row>
    <row r="65">
      <c r="A65" s="15" t="inlineStr">
        <is>
          <t>summary_foreclosure_status</t>
        </is>
      </c>
      <c r="B65" s="25" t="inlineStr">
        <is>
          <t>activefcflag=1→'Active Foreclosure'；=0 且 fcremovaldesc 非空→'Closed Foreclosure:'+fcremovaldesc；否则 NULL</t>
        </is>
      </c>
      <c r="C65" s="16" t="inlineStr">
        <is>
          <t>Closed Foreclosure:Process Complete</t>
        </is>
      </c>
      <c r="D65" s="29">
        <f>IF('② src·portnewrezfc'!B42="1","Active Foreclosure",IF(AND('② src·portnewrezfc'!B42="0",'② src·portnewrezfc'!B35&lt;&gt;"—"),"Closed Foreclosure:"&amp;'② src·portnewrezfc'!B35,""))</f>
        <v/>
      </c>
      <c r="E65" s="16" t="inlineStr">
        <is>
          <t>Closed Foreclosure:Loss Mitigation</t>
        </is>
      </c>
      <c r="F65" s="29">
        <f>IF('② src·portnewrezfc'!C42="1","Active Foreclosure",IF(AND('② src·portnewrezfc'!C42="0",'② src·portnewrezfc'!C35&lt;&gt;"—"),"Closed Foreclosure:"&amp;'② src·portnewrezfc'!C35,""))</f>
        <v/>
      </c>
      <c r="G65" s="16" t="inlineStr">
        <is>
          <t>Closed Foreclosure:Paid in Full</t>
        </is>
      </c>
      <c r="H65" s="30">
        <f>IF('② src·portnewrezfc'!D42="1","Active Foreclosure",IF(AND('② src·portnewrezfc'!D42="0",'② src·portnewrezfc'!D35&lt;&gt;"—"),"Closed Foreclosure:"&amp;'② src·portnewrezfc'!D35,""))</f>
        <v/>
      </c>
      <c r="I65" s="16" t="inlineStr">
        <is>
          <t>Closed Foreclosure:Process Complete</t>
        </is>
      </c>
      <c r="J65" s="30">
        <f>IF('② src·portnewrezfc'!E42="1","Active Foreclosure",IF(AND('② src·portnewrezfc'!E42="0",'② src·portnewrezfc'!E35&lt;&gt;"—"),"Closed Foreclosure:"&amp;'② src·portnewrezfc'!E35,""))</f>
        <v/>
      </c>
      <c r="K65" s="16" t="inlineStr">
        <is>
          <t>—</t>
        </is>
      </c>
      <c r="L65" s="30">
        <f>IF('② src·portnewrezfc'!F42="1","Active Foreclosure",IF(AND('② src·portnewrezfc'!F42="0",'② src·portnewrezfc'!F35&lt;&gt;"—"),"Closed Foreclosure:"&amp;'② src·portnewrezfc'!F35,""))</f>
        <v/>
      </c>
    </row>
    <row r="66">
      <c r="A66" s="15" t="inlineStr">
        <is>
          <t>summary_completed_foreclosure</t>
        </is>
      </c>
      <c r="B66" s="25" t="inlineStr">
        <is>
          <t>activefcflag 取反：=0→1，=1→0（prod 实测该列全 NULL）</t>
        </is>
      </c>
      <c r="C66" s="6" t="inlineStr">
        <is>
          <t>—</t>
        </is>
      </c>
      <c r="D66" s="32">
        <f>IF('② src·portnewrezfc'!B42="0","1",IF('② src·portnewrezfc'!B42="1","0",""))</f>
        <v/>
      </c>
      <c r="E66" s="6" t="inlineStr">
        <is>
          <t>—</t>
        </is>
      </c>
      <c r="F66" s="32">
        <f>IF('② src·portnewrezfc'!C42="0","1",IF('② src·portnewrezfc'!C42="1","0",""))</f>
        <v/>
      </c>
      <c r="G66" s="6" t="inlineStr">
        <is>
          <t>—</t>
        </is>
      </c>
      <c r="H66" s="32">
        <f>IF('② src·portnewrezfc'!D42="0","1",IF('② src·portnewrezfc'!D42="1","0",""))</f>
        <v/>
      </c>
      <c r="I66" s="6" t="inlineStr">
        <is>
          <t>—</t>
        </is>
      </c>
      <c r="J66" s="32">
        <f>IF('② src·portnewrezfc'!E42="0","1",IF('② src·portnewrezfc'!E42="1","0",""))</f>
        <v/>
      </c>
      <c r="K66" s="6" t="inlineStr">
        <is>
          <t>—</t>
        </is>
      </c>
      <c r="L66" s="30">
        <f>IF('② src·portnewrezfc'!F42="0","1",IF('② src·portnewrezfc'!F42="1","0",""))</f>
        <v/>
      </c>
    </row>
    <row r="67">
      <c r="A67" s="15" t="inlineStr">
        <is>
          <t>summary_foreclosure_bid_amount</t>
        </is>
      </c>
      <c r="B67" s="25" t="inlineStr">
        <is>
          <t>直接取值：portnewrezfc.fcbidamount</t>
        </is>
      </c>
      <c r="C67" s="16" t="inlineStr">
        <is>
          <t>301500</t>
        </is>
      </c>
      <c r="D67" s="29">
        <f>'② src·portnewrezfc'!B41</f>
        <v/>
      </c>
      <c r="E67" s="16" t="inlineStr">
        <is>
          <t>—</t>
        </is>
      </c>
      <c r="F67" s="29">
        <f>'② src·portnewrezfc'!C41</f>
        <v/>
      </c>
      <c r="G67" s="16" t="inlineStr">
        <is>
          <t>—</t>
        </is>
      </c>
      <c r="H67" s="30">
        <f>'② src·portnewrezfc'!D41</f>
        <v/>
      </c>
      <c r="I67" s="16" t="inlineStr">
        <is>
          <t>390832.5</t>
        </is>
      </c>
      <c r="J67" s="30">
        <f>'② src·portnewrezfc'!E41</f>
        <v/>
      </c>
      <c r="K67" s="16" t="inlineStr">
        <is>
          <t>—</t>
        </is>
      </c>
      <c r="L67" s="30">
        <f>'② src·portnewrezfc'!F41</f>
        <v/>
      </c>
    </row>
    <row r="68">
      <c r="A68" s="15" t="inlineStr">
        <is>
          <t>summary_srv_fc_bid_amount</t>
        </is>
      </c>
      <c r="B68" s="25" t="inlineStr">
        <is>
          <t>直接取值：portnewrezfc.fcbidamount</t>
        </is>
      </c>
      <c r="C68" s="6" t="inlineStr">
        <is>
          <t>301500</t>
        </is>
      </c>
      <c r="D68" s="31">
        <f>'② src·portnewrezfc'!B41</f>
        <v/>
      </c>
      <c r="E68" s="6" t="inlineStr">
        <is>
          <t>—</t>
        </is>
      </c>
      <c r="F68" s="31">
        <f>'② src·portnewrezfc'!C41</f>
        <v/>
      </c>
      <c r="G68" s="6" t="inlineStr">
        <is>
          <t>—</t>
        </is>
      </c>
      <c r="H68" s="30">
        <f>'② src·portnewrezfc'!D41</f>
        <v/>
      </c>
      <c r="I68" s="6" t="inlineStr">
        <is>
          <t>390832.5</t>
        </is>
      </c>
      <c r="J68" s="30">
        <f>'② src·portnewrezfc'!E41</f>
        <v/>
      </c>
      <c r="K68" s="6" t="inlineStr">
        <is>
          <t>—</t>
        </is>
      </c>
      <c r="L68" s="30">
        <f>'② src·portnewrezfc'!F41</f>
        <v/>
      </c>
    </row>
    <row r="69">
      <c r="A69" s="15" t="inlineStr">
        <is>
          <t>summary_foreclosure_sale_amount</t>
        </is>
      </c>
      <c r="B69" s="25" t="inlineStr">
        <is>
          <t>直接取值：portnewrezfc.fcsaleamount</t>
        </is>
      </c>
      <c r="C69" s="16" t="inlineStr">
        <is>
          <t>200100</t>
        </is>
      </c>
      <c r="D69" s="29">
        <f>'② src·portnewrezfc'!B28</f>
        <v/>
      </c>
      <c r="E69" s="16" t="inlineStr">
        <is>
          <t>—</t>
        </is>
      </c>
      <c r="F69" s="29">
        <f>'② src·portnewrezfc'!C28</f>
        <v/>
      </c>
      <c r="G69" s="16" t="inlineStr">
        <is>
          <t>—</t>
        </is>
      </c>
      <c r="H69" s="30">
        <f>'② src·portnewrezfc'!D28</f>
        <v/>
      </c>
      <c r="I69" s="16" t="inlineStr">
        <is>
          <t>357200</t>
        </is>
      </c>
      <c r="J69" s="30">
        <f>'② src·portnewrezfc'!E28</f>
        <v/>
      </c>
      <c r="K69" s="16" t="inlineStr">
        <is>
          <t>—</t>
        </is>
      </c>
      <c r="L69" s="30">
        <f>'② src·portnewrezfc'!F28</f>
        <v/>
      </c>
    </row>
    <row r="70">
      <c r="A70" s="15" t="inlineStr">
        <is>
          <t>summary_judicial_foreclosure</t>
        </is>
      </c>
      <c r="B70" s="25" t="inlineStr">
        <is>
          <t>直接取值：portnewrezfc.judicial</t>
        </is>
      </c>
      <c r="C70" s="6" t="inlineStr">
        <is>
          <t>1</t>
        </is>
      </c>
      <c r="D70" s="31">
        <f>'② src·portnewrezfc'!B38</f>
        <v/>
      </c>
      <c r="E70" s="6" t="inlineStr">
        <is>
          <t>0</t>
        </is>
      </c>
      <c r="F70" s="31">
        <f>'② src·portnewrezfc'!C38</f>
        <v/>
      </c>
      <c r="G70" s="6" t="inlineStr">
        <is>
          <t>1</t>
        </is>
      </c>
      <c r="H70" s="30">
        <f>'② src·portnewrezfc'!D38</f>
        <v/>
      </c>
      <c r="I70" s="6" t="inlineStr">
        <is>
          <t>1</t>
        </is>
      </c>
      <c r="J70" s="30">
        <f>'② src·portnewrezfc'!E38</f>
        <v/>
      </c>
      <c r="K70" s="6" t="inlineStr">
        <is>
          <t>—</t>
        </is>
      </c>
      <c r="L70" s="30">
        <f>'② src·portnewrezfc'!F38</f>
        <v/>
      </c>
    </row>
    <row r="71">
      <c r="A71" s="15" t="inlineStr">
        <is>
          <t>summary_foreclosure_attorney</t>
        </is>
      </c>
      <c r="B71" s="25" t="inlineStr">
        <is>
          <t>直接取值：portnewrezfc.fcfirm</t>
        </is>
      </c>
      <c r="C71" s="16" t="inlineStr">
        <is>
          <t>—</t>
        </is>
      </c>
      <c r="D71" s="32">
        <f>'② src·portnewrezfc'!B39</f>
        <v/>
      </c>
      <c r="E71" s="16" t="inlineStr">
        <is>
          <t>—</t>
        </is>
      </c>
      <c r="F71" s="32">
        <f>'② src·portnewrezfc'!C39</f>
        <v/>
      </c>
      <c r="G71" s="16" t="inlineStr">
        <is>
          <t>—</t>
        </is>
      </c>
      <c r="H71" s="32">
        <f>'② src·portnewrezfc'!D39</f>
        <v/>
      </c>
      <c r="I71" s="16" t="inlineStr">
        <is>
          <t>—</t>
        </is>
      </c>
      <c r="J71" s="32">
        <f>'② src·portnewrezfc'!E39</f>
        <v/>
      </c>
      <c r="K71" s="16" t="inlineStr">
        <is>
          <t>—</t>
        </is>
      </c>
      <c r="L71" s="30">
        <f>'② src·portnewrezfc'!F39</f>
        <v/>
      </c>
    </row>
    <row r="72">
      <c r="A72" s="15" t="inlineStr">
        <is>
          <t>summary_contested_litigation</t>
        </is>
      </c>
      <c r="B72" s="25" t="inlineStr">
        <is>
          <t>直接取值：portnewrezfc.fccontestedflag</t>
        </is>
      </c>
      <c r="C72" s="6" t="inlineStr">
        <is>
          <t>0</t>
        </is>
      </c>
      <c r="D72" s="31">
        <f>'② src·portnewrezfc'!B37</f>
        <v/>
      </c>
      <c r="E72" s="6" t="inlineStr">
        <is>
          <t>0</t>
        </is>
      </c>
      <c r="F72" s="31">
        <f>'② src·portnewrezfc'!C37</f>
        <v/>
      </c>
      <c r="G72" s="6" t="inlineStr">
        <is>
          <t>0</t>
        </is>
      </c>
      <c r="H72" s="30">
        <f>'② src·portnewrezfc'!D37</f>
        <v/>
      </c>
      <c r="I72" s="6" t="inlineStr">
        <is>
          <t>0</t>
        </is>
      </c>
      <c r="J72" s="30">
        <f>'② src·portnewrezfc'!E37</f>
        <v/>
      </c>
      <c r="K72" s="6" t="inlineStr">
        <is>
          <t>—</t>
        </is>
      </c>
      <c r="L72" s="30">
        <f>'② src·portnewrezfc'!F37</f>
        <v/>
      </c>
    </row>
    <row r="73">
      <c r="A73" s="15" t="inlineStr">
        <is>
          <t>summary_firm</t>
        </is>
      </c>
      <c r="B73" s="25" t="inlineStr">
        <is>
          <t>直接取值：portnewrezfc.fcfirm</t>
        </is>
      </c>
      <c r="C73" s="16" t="inlineStr">
        <is>
          <t>Kelley Kronenberg, P.A.</t>
        </is>
      </c>
      <c r="D73" s="29">
        <f>'② src·portnewrezfc'!B39</f>
        <v/>
      </c>
      <c r="E73" s="16" t="inlineStr">
        <is>
          <t>Orlans Law Group PLLC</t>
        </is>
      </c>
      <c r="F73" s="29">
        <f>'② src·portnewrezfc'!C39</f>
        <v/>
      </c>
      <c r="G73" s="16" t="inlineStr">
        <is>
          <t>Johnson, Blumberg &amp; Associates, LLC</t>
        </is>
      </c>
      <c r="H73" s="30">
        <f>'② src·portnewrezfc'!D39</f>
        <v/>
      </c>
      <c r="I73" s="16" t="inlineStr">
        <is>
          <t>RAS (Primary)</t>
        </is>
      </c>
      <c r="J73" s="30">
        <f>'② src·portnewrezfc'!E39</f>
        <v/>
      </c>
      <c r="K73" s="16" t="inlineStr">
        <is>
          <t>—</t>
        </is>
      </c>
      <c r="L73" s="30">
        <f>'② src·portnewrezfc'!F39</f>
        <v/>
      </c>
    </row>
    <row r="74">
      <c r="A74" s="15" t="inlineStr">
        <is>
          <t>summary_type</t>
        </is>
      </c>
      <c r="B74" s="25" t="inlineStr">
        <is>
          <t>judicial=1→'Judicial'；=0→'Non Judicial'；NULL→NULL</t>
        </is>
      </c>
      <c r="C74" s="6" t="inlineStr">
        <is>
          <t>Judicial</t>
        </is>
      </c>
      <c r="D74" s="31">
        <f>IF('② src·portnewrezfc'!B38="1","Judicial",IF('② src·portnewrezfc'!B38="0","Non Judicial",""))</f>
        <v/>
      </c>
      <c r="E74" s="6" t="inlineStr">
        <is>
          <t>Non Judicial</t>
        </is>
      </c>
      <c r="F74" s="31">
        <f>IF('② src·portnewrezfc'!C38="1","Judicial",IF('② src·portnewrezfc'!C38="0","Non Judicial",""))</f>
        <v/>
      </c>
      <c r="G74" s="6" t="inlineStr">
        <is>
          <t>Judicial</t>
        </is>
      </c>
      <c r="H74" s="30">
        <f>IF('② src·portnewrezfc'!D38="1","Judicial",IF('② src·portnewrezfc'!D38="0","Non Judicial",""))</f>
        <v/>
      </c>
      <c r="I74" s="6" t="inlineStr">
        <is>
          <t>Judicial</t>
        </is>
      </c>
      <c r="J74" s="30">
        <f>IF('② src·portnewrezfc'!E38="1","Judicial",IF('② src·portnewrezfc'!E38="0","Non Judicial",""))</f>
        <v/>
      </c>
      <c r="K74" s="6" t="inlineStr">
        <is>
          <t>—</t>
        </is>
      </c>
      <c r="L74" s="30">
        <f>IF('② src·portnewrezfc'!F38="1","Judicial",IF('② src·portnewrezfc'!F38="0","Non Judicial",""))</f>
        <v/>
      </c>
    </row>
    <row r="75">
      <c r="A75" s="15" t="inlineStr">
        <is>
          <t>summary_sms_days_in_fcl</t>
        </is>
      </c>
      <c r="B75" s="25" t="inlineStr">
        <is>
          <t>原值 smsdaysinfc + DATEDIFF(今日纽约, dataasof) 实时重算（≈BPS 载入时点）</t>
        </is>
      </c>
      <c r="C75" s="16" t="inlineStr">
        <is>
          <t>370</t>
        </is>
      </c>
      <c r="D75" s="29">
        <f>IF('② src·portnewrezfc'!B11="—","—",'② src·portnewrezfc'!B11+(TODAY()-DATEVALUE('② src·portnewrezfc'!B7)))</f>
        <v/>
      </c>
      <c r="E75" s="16" t="inlineStr">
        <is>
          <t>81</t>
        </is>
      </c>
      <c r="F75" s="29">
        <f>IF('② src·portnewrezfc'!C11="—","—",'② src·portnewrezfc'!C11+(TODAY()-DATEVALUE('② src·portnewrezfc'!C7)))</f>
        <v/>
      </c>
      <c r="G75" s="16" t="inlineStr">
        <is>
          <t>296</t>
        </is>
      </c>
      <c r="H75" s="30">
        <f>IF('② src·portnewrezfc'!D11="—","—",'② src·portnewrezfc'!D11+(TODAY()-DATEVALUE('② src·portnewrezfc'!D7)))</f>
        <v/>
      </c>
      <c r="I75" s="16" t="inlineStr">
        <is>
          <t>256</t>
        </is>
      </c>
      <c r="J75" s="30">
        <f>IF('② src·portnewrezfc'!E11="—","—",'② src·portnewrezfc'!E11+(TODAY()-DATEVALUE('② src·portnewrezfc'!E7)))</f>
        <v/>
      </c>
      <c r="K75" s="16" t="inlineStr">
        <is>
          <t>—</t>
        </is>
      </c>
      <c r="L75" s="30">
        <f>IF('② src·portnewrezfc'!F11="—","—",'② src·portnewrezfc'!F11+(TODAY()-DATEVALUE('② src·portnewrezfc'!F7)))</f>
        <v/>
      </c>
    </row>
    <row r="76">
      <c r="A76" s="15" t="inlineStr">
        <is>
          <t>summary_days_in_fcl</t>
        </is>
      </c>
      <c r="B76" s="25" t="inlineStr">
        <is>
          <t>原值 daysinfc + DATEDIFF(今日纽约, dataasof) 实时重算（≈BPS 载入时点）</t>
        </is>
      </c>
      <c r="C76" s="6" t="inlineStr">
        <is>
          <t>370</t>
        </is>
      </c>
      <c r="D76" s="31">
        <f>IF('② src·portnewrezfc'!B12="—","—",'② src·portnewrezfc'!B12+(TODAY()-DATEVALUE('② src·portnewrezfc'!B7)))</f>
        <v/>
      </c>
      <c r="E76" s="6" t="inlineStr">
        <is>
          <t>81</t>
        </is>
      </c>
      <c r="F76" s="31">
        <f>IF('② src·portnewrezfc'!C12="—","—",'② src·portnewrezfc'!C12+(TODAY()-DATEVALUE('② src·portnewrezfc'!C7)))</f>
        <v/>
      </c>
      <c r="G76" s="6" t="inlineStr">
        <is>
          <t>296</t>
        </is>
      </c>
      <c r="H76" s="30">
        <f>IF('② src·portnewrezfc'!D12="—","—",'② src·portnewrezfc'!D12+(TODAY()-DATEVALUE('② src·portnewrezfc'!D7)))</f>
        <v/>
      </c>
      <c r="I76" s="6" t="inlineStr">
        <is>
          <t>256</t>
        </is>
      </c>
      <c r="J76" s="30">
        <f>IF('② src·portnewrezfc'!E12="—","—",'② src·portnewrezfc'!E12+(TODAY()-DATEVALUE('② src·portnewrezfc'!E7)))</f>
        <v/>
      </c>
      <c r="K76" s="6" t="inlineStr">
        <is>
          <t>—</t>
        </is>
      </c>
      <c r="L76" s="30">
        <f>IF('② src·portnewrezfc'!F12="—","—",'② src·portnewrezfc'!F12+(TODAY()-DATEVALUE('② src·portnewrezfc'!F7)))</f>
        <v/>
      </c>
    </row>
    <row r="77">
      <c r="A77" s="15" t="inlineStr">
        <is>
          <t>summary_current_step</t>
        </is>
      </c>
      <c r="B77" s="25" t="inlineStr">
        <is>
          <t>COALESCE(currentmilestone, fcstage)</t>
        </is>
      </c>
      <c r="C77" s="16" t="inlineStr">
        <is>
          <t>Post Sale Review (SCRA and PACER Check)</t>
        </is>
      </c>
      <c r="D77" s="32">
        <f>IF('② src·portnewrezfc'!B62&lt;&gt;"—",'② src·portnewrezfc'!B62,'② src·portnewrezfc'!B15)</f>
        <v/>
      </c>
      <c r="E77" s="16" t="inlineStr">
        <is>
          <t>Pre-Sale Review 1 (SCRA and PACER Check)</t>
        </is>
      </c>
      <c r="F77" s="32">
        <f>IF('② src·portnewrezfc'!C62&lt;&gt;"—",'② src·portnewrezfc'!C62,'② src·portnewrezfc'!C15)</f>
        <v/>
      </c>
      <c r="G77" s="16" t="inlineStr">
        <is>
          <t>Pre-Sale Review 1 (SCRA and PACER Check)</t>
        </is>
      </c>
      <c r="H77" s="32">
        <f>IF('② src·portnewrezfc'!D62&lt;&gt;"—",'② src·portnewrezfc'!D62,'② src·portnewrezfc'!D15)</f>
        <v/>
      </c>
      <c r="I77" s="16" t="inlineStr">
        <is>
          <t>Post Sale Review (SCRA and PACER Check)</t>
        </is>
      </c>
      <c r="J77" s="32">
        <f>IF('② src·portnewrezfc'!E62&lt;&gt;"—",'② src·portnewrezfc'!E62,'② src·portnewrezfc'!E15)</f>
        <v/>
      </c>
      <c r="K77" s="16" t="inlineStr">
        <is>
          <t>—</t>
        </is>
      </c>
      <c r="L77" s="30">
        <f>IF('② src·portnewrezfc'!F62&lt;&gt;"—",'② src·portnewrezfc'!F62,'② src·portnewrezfc'!F15)</f>
        <v/>
      </c>
    </row>
    <row r="78">
      <c r="A78" s="15" t="inlineStr">
        <is>
          <t>summary_last_step_completed</t>
        </is>
      </c>
      <c r="B78" s="25" t="inlineStr">
        <is>
          <t>直接取值：portnewrezfc.lastfcstepcompleted</t>
        </is>
      </c>
      <c r="C78" s="6" t="inlineStr">
        <is>
          <t>Post Sale Review (SCRA and PACER Check)</t>
        </is>
      </c>
      <c r="D78" s="31">
        <f>'② src·portnewrezfc'!B16</f>
        <v/>
      </c>
      <c r="E78" s="6" t="inlineStr">
        <is>
          <t>First Publication</t>
        </is>
      </c>
      <c r="F78" s="31">
        <f>'② src·portnewrezfc'!C16</f>
        <v/>
      </c>
      <c r="G78" s="6" t="inlineStr">
        <is>
          <t>Sale Scheduled For</t>
        </is>
      </c>
      <c r="H78" s="30">
        <f>'② src·portnewrezfc'!D16</f>
        <v/>
      </c>
      <c r="I78" s="6" t="inlineStr">
        <is>
          <t>Post Sale Review (SCRA and PACER Check)</t>
        </is>
      </c>
      <c r="J78" s="30">
        <f>'② src·portnewrezfc'!E16</f>
        <v/>
      </c>
      <c r="K78" s="6" t="inlineStr">
        <is>
          <t>—</t>
        </is>
      </c>
      <c r="L78" s="30">
        <f>'② src·portnewrezfc'!F16</f>
        <v/>
      </c>
    </row>
    <row r="79">
      <c r="A79" s="15" t="inlineStr">
        <is>
          <t>summary_last_step_completed_date</t>
        </is>
      </c>
      <c r="B79" s="25" t="inlineStr">
        <is>
          <t>直接取值：portnewrezfc.lastfcstepcompleteddate</t>
        </is>
      </c>
      <c r="C79" s="16" t="inlineStr">
        <is>
          <t>2026-05-26</t>
        </is>
      </c>
      <c r="D79" s="29">
        <f>'② src·portnewrezfc'!B17</f>
        <v/>
      </c>
      <c r="E79" s="16" t="inlineStr">
        <is>
          <t>2026-03-25</t>
        </is>
      </c>
      <c r="F79" s="29">
        <f>'② src·portnewrezfc'!C17</f>
        <v/>
      </c>
      <c r="G79" s="16" t="inlineStr">
        <is>
          <t>2026-05-19</t>
        </is>
      </c>
      <c r="H79" s="30">
        <f>'② src·portnewrezfc'!D17</f>
        <v/>
      </c>
      <c r="I79" s="16" t="inlineStr">
        <is>
          <t>2025-10-15</t>
        </is>
      </c>
      <c r="J79" s="30">
        <f>'② src·portnewrezfc'!E17</f>
        <v/>
      </c>
      <c r="K79" s="16" t="inlineStr">
        <is>
          <t>—</t>
        </is>
      </c>
      <c r="L79" s="30">
        <f>'② src·portnewrezfc'!F17</f>
        <v/>
      </c>
    </row>
    <row r="80">
      <c r="A80" s="15" t="inlineStr">
        <is>
          <t>create_user</t>
        </is>
      </c>
      <c r="B80" s="25" t="inlineStr">
        <is>
          <t>BPS 内部生成/审计字段</t>
        </is>
      </c>
      <c r="C80" s="6" t="inlineStr">
        <is>
          <t>—</t>
        </is>
      </c>
      <c r="D80" s="26" t="inlineStr">
        <is>
          <t>— 注：BPS 内部生成/审计字段</t>
        </is>
      </c>
      <c r="E80" s="6" t="inlineStr">
        <is>
          <t>—</t>
        </is>
      </c>
      <c r="F80" s="26" t="inlineStr">
        <is>
          <t>— 注：BPS 内部生成/审计字段</t>
        </is>
      </c>
      <c r="G80" s="6" t="inlineStr">
        <is>
          <t>—</t>
        </is>
      </c>
      <c r="H80" s="27" t="inlineStr">
        <is>
          <t>— 注：BPS 内部生成/审计字段</t>
        </is>
      </c>
      <c r="I80" s="6" t="inlineStr">
        <is>
          <t>—</t>
        </is>
      </c>
      <c r="J80" s="27" t="inlineStr">
        <is>
          <t>— 注：BPS 内部生成/审计字段</t>
        </is>
      </c>
      <c r="K80" s="6" t="inlineStr">
        <is>
          <t>—</t>
        </is>
      </c>
      <c r="L80" s="27" t="inlineStr">
        <is>
          <t>— 注：BPS 内部生成/审计字段</t>
        </is>
      </c>
    </row>
    <row r="81">
      <c r="A81" s="15" t="inlineStr">
        <is>
          <t>create_dept</t>
        </is>
      </c>
      <c r="B81" s="25" t="inlineStr">
        <is>
          <t>BPS 内部生成/审计字段</t>
        </is>
      </c>
      <c r="C81" s="16" t="inlineStr">
        <is>
          <t>—</t>
        </is>
      </c>
      <c r="D81" s="28" t="inlineStr">
        <is>
          <t>— 注：BPS 内部生成/审计字段</t>
        </is>
      </c>
      <c r="E81" s="16" t="inlineStr">
        <is>
          <t>—</t>
        </is>
      </c>
      <c r="F81" s="28" t="inlineStr">
        <is>
          <t>— 注：BPS 内部生成/审计字段</t>
        </is>
      </c>
      <c r="G81" s="16" t="inlineStr">
        <is>
          <t>—</t>
        </is>
      </c>
      <c r="H81" s="27" t="inlineStr">
        <is>
          <t>— 注：BPS 内部生成/审计字段</t>
        </is>
      </c>
      <c r="I81" s="16" t="inlineStr">
        <is>
          <t>—</t>
        </is>
      </c>
      <c r="J81" s="27" t="inlineStr">
        <is>
          <t>— 注：BPS 内部生成/审计字段</t>
        </is>
      </c>
      <c r="K81" s="16" t="inlineStr">
        <is>
          <t>—</t>
        </is>
      </c>
      <c r="L81" s="27" t="inlineStr">
        <is>
          <t>— 注：BPS 内部生成/审计字段</t>
        </is>
      </c>
    </row>
    <row r="82">
      <c r="A82" s="15" t="inlineStr">
        <is>
          <t>create_time</t>
        </is>
      </c>
      <c r="B82" s="25" t="inlineStr">
        <is>
          <t>BPS 内部生成/审计字段</t>
        </is>
      </c>
      <c r="C82" s="6" t="inlineStr">
        <is>
          <t>—</t>
        </is>
      </c>
      <c r="D82" s="26" t="inlineStr">
        <is>
          <t>— 注：BPS 内部生成/审计字段</t>
        </is>
      </c>
      <c r="E82" s="6" t="inlineStr">
        <is>
          <t>—</t>
        </is>
      </c>
      <c r="F82" s="26" t="inlineStr">
        <is>
          <t>— 注：BPS 内部生成/审计字段</t>
        </is>
      </c>
      <c r="G82" s="6" t="inlineStr">
        <is>
          <t>—</t>
        </is>
      </c>
      <c r="H82" s="27" t="inlineStr">
        <is>
          <t>— 注：BPS 内部生成/审计字段</t>
        </is>
      </c>
      <c r="I82" s="6" t="inlineStr">
        <is>
          <t>—</t>
        </is>
      </c>
      <c r="J82" s="27" t="inlineStr">
        <is>
          <t>— 注：BPS 内部生成/审计字段</t>
        </is>
      </c>
      <c r="K82" s="6" t="inlineStr">
        <is>
          <t>—</t>
        </is>
      </c>
      <c r="L82" s="27" t="inlineStr">
        <is>
          <t>— 注：BPS 内部生成/审计字段</t>
        </is>
      </c>
    </row>
    <row r="83">
      <c r="A83" s="15" t="inlineStr">
        <is>
          <t>update_user</t>
        </is>
      </c>
      <c r="B83" s="25" t="inlineStr">
        <is>
          <t>BPS 内部生成/审计字段</t>
        </is>
      </c>
      <c r="C83" s="16" t="inlineStr">
        <is>
          <t>—</t>
        </is>
      </c>
      <c r="D83" s="28" t="inlineStr">
        <is>
          <t>— 注：BPS 内部生成/审计字段</t>
        </is>
      </c>
      <c r="E83" s="16" t="inlineStr">
        <is>
          <t>—</t>
        </is>
      </c>
      <c r="F83" s="28" t="inlineStr">
        <is>
          <t>— 注：BPS 内部生成/审计字段</t>
        </is>
      </c>
      <c r="G83" s="16" t="inlineStr">
        <is>
          <t>—</t>
        </is>
      </c>
      <c r="H83" s="27" t="inlineStr">
        <is>
          <t>— 注：BPS 内部生成/审计字段</t>
        </is>
      </c>
      <c r="I83" s="16" t="inlineStr">
        <is>
          <t>—</t>
        </is>
      </c>
      <c r="J83" s="27" t="inlineStr">
        <is>
          <t>— 注：BPS 内部生成/审计字段</t>
        </is>
      </c>
      <c r="K83" s="16" t="inlineStr">
        <is>
          <t>—</t>
        </is>
      </c>
      <c r="L83" s="27" t="inlineStr">
        <is>
          <t>— 注：BPS 内部生成/审计字段</t>
        </is>
      </c>
    </row>
    <row r="84">
      <c r="A84" s="15" t="inlineStr">
        <is>
          <t>update_time</t>
        </is>
      </c>
      <c r="B84" s="25" t="inlineStr">
        <is>
          <t>BPS 内部生成/审计字段</t>
        </is>
      </c>
      <c r="C84" s="6" t="inlineStr">
        <is>
          <t>—</t>
        </is>
      </c>
      <c r="D84" s="26" t="inlineStr">
        <is>
          <t>— 注：BPS 内部生成/审计字段</t>
        </is>
      </c>
      <c r="E84" s="6" t="inlineStr">
        <is>
          <t>—</t>
        </is>
      </c>
      <c r="F84" s="26" t="inlineStr">
        <is>
          <t>— 注：BPS 内部生成/审计字段</t>
        </is>
      </c>
      <c r="G84" s="6" t="inlineStr">
        <is>
          <t>—</t>
        </is>
      </c>
      <c r="H84" s="27" t="inlineStr">
        <is>
          <t>— 注：BPS 内部生成/审计字段</t>
        </is>
      </c>
      <c r="I84" s="6" t="inlineStr">
        <is>
          <t>—</t>
        </is>
      </c>
      <c r="J84" s="27" t="inlineStr">
        <is>
          <t>— 注：BPS 内部生成/审计字段</t>
        </is>
      </c>
      <c r="K84" s="6" t="inlineStr">
        <is>
          <t>—</t>
        </is>
      </c>
      <c r="L84" s="27" t="inlineStr">
        <is>
          <t>— 注：BPS 内部生成/审计字段</t>
        </is>
      </c>
    </row>
    <row r="85">
      <c r="A85" s="15" t="inlineStr">
        <is>
          <t>status</t>
        </is>
      </c>
      <c r="B85" s="25" t="inlineStr">
        <is>
          <t>BPS 内部生成/审计字段</t>
        </is>
      </c>
      <c r="C85" s="16" t="inlineStr">
        <is>
          <t>0</t>
        </is>
      </c>
      <c r="D85" s="28" t="inlineStr">
        <is>
          <t>— 注：BPS 内部生成/审计字段</t>
        </is>
      </c>
      <c r="E85" s="16" t="inlineStr">
        <is>
          <t>0</t>
        </is>
      </c>
      <c r="F85" s="28" t="inlineStr">
        <is>
          <t>— 注：BPS 内部生成/审计字段</t>
        </is>
      </c>
      <c r="G85" s="16" t="inlineStr">
        <is>
          <t>0</t>
        </is>
      </c>
      <c r="H85" s="27" t="inlineStr">
        <is>
          <t>— 注：BPS 内部生成/审计字段</t>
        </is>
      </c>
      <c r="I85" s="16" t="inlineStr">
        <is>
          <t>0</t>
        </is>
      </c>
      <c r="J85" s="27" t="inlineStr">
        <is>
          <t>— 注：BPS 内部生成/审计字段</t>
        </is>
      </c>
      <c r="K85" s="16" t="inlineStr">
        <is>
          <t>—</t>
        </is>
      </c>
      <c r="L85" s="27" t="inlineStr">
        <is>
          <t>— 注：BPS 内部生成/审计字段</t>
        </is>
      </c>
    </row>
    <row r="86">
      <c r="A86" s="15" t="inlineStr">
        <is>
          <t>is_deleted</t>
        </is>
      </c>
      <c r="B86" s="25" t="inlineStr">
        <is>
          <t>BPS 内部生成/审计字段</t>
        </is>
      </c>
      <c r="C86" s="6" t="inlineStr">
        <is>
          <t>0</t>
        </is>
      </c>
      <c r="D86" s="26" t="inlineStr">
        <is>
          <t>— 注：BPS 内部生成/审计字段</t>
        </is>
      </c>
      <c r="E86" s="6" t="inlineStr">
        <is>
          <t>0</t>
        </is>
      </c>
      <c r="F86" s="26" t="inlineStr">
        <is>
          <t>— 注：BPS 内部生成/审计字段</t>
        </is>
      </c>
      <c r="G86" s="6" t="inlineStr">
        <is>
          <t>0</t>
        </is>
      </c>
      <c r="H86" s="27" t="inlineStr">
        <is>
          <t>— 注：BPS 内部生成/审计字段</t>
        </is>
      </c>
      <c r="I86" s="6" t="inlineStr">
        <is>
          <t>0</t>
        </is>
      </c>
      <c r="J86" s="27" t="inlineStr">
        <is>
          <t>— 注：BPS 内部生成/审计字段</t>
        </is>
      </c>
      <c r="K86" s="6" t="inlineStr">
        <is>
          <t>—</t>
        </is>
      </c>
      <c r="L86" s="27" t="inlineStr">
        <is>
          <t>— 注：BPS 内部生成/审计字段</t>
        </is>
      </c>
    </row>
    <row r="87">
      <c r="A87" s="15" t="inlineStr">
        <is>
          <t>tenant_id</t>
        </is>
      </c>
      <c r="B87" s="25" t="inlineStr">
        <is>
          <t>BPS 内部生成/审计字段</t>
        </is>
      </c>
      <c r="C87" s="16" t="inlineStr">
        <is>
          <t>000000</t>
        </is>
      </c>
      <c r="D87" s="28" t="inlineStr">
        <is>
          <t>— 注：BPS 内部生成/审计字段</t>
        </is>
      </c>
      <c r="E87" s="16" t="inlineStr">
        <is>
          <t>000000</t>
        </is>
      </c>
      <c r="F87" s="28" t="inlineStr">
        <is>
          <t>— 注：BPS 内部生成/审计字段</t>
        </is>
      </c>
      <c r="G87" s="16" t="inlineStr">
        <is>
          <t>000000</t>
        </is>
      </c>
      <c r="H87" s="27" t="inlineStr">
        <is>
          <t>— 注：BPS 内部生成/审计字段</t>
        </is>
      </c>
      <c r="I87" s="16" t="inlineStr">
        <is>
          <t>000000</t>
        </is>
      </c>
      <c r="J87" s="27" t="inlineStr">
        <is>
          <t>— 注：BPS 内部生成/审计字段</t>
        </is>
      </c>
      <c r="K87" s="16" t="inlineStr">
        <is>
          <t>—</t>
        </is>
      </c>
      <c r="L87" s="27" t="inlineStr">
        <is>
          <t>— 注：BPS 内部生成/审计字段</t>
        </is>
      </c>
    </row>
  </sheetData>
  <mergeCells count="14">
    <mergeCell ref="A2:L2"/>
    <mergeCell ref="A7:L7"/>
    <mergeCell ref="A10:L10"/>
    <mergeCell ref="A11:L11"/>
    <mergeCell ref="A1:L1"/>
    <mergeCell ref="A5:L5"/>
    <mergeCell ref="A13:L13"/>
    <mergeCell ref="A8:L8"/>
    <mergeCell ref="A14:L14"/>
    <mergeCell ref="A6:L6"/>
    <mergeCell ref="A9:L9"/>
    <mergeCell ref="A3:L3"/>
    <mergeCell ref="A12:L12"/>
    <mergeCell ref="A4:L4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9" t="inlineStr">
        <is>
          <t>bpms.sync_fcl_stage_info — 聚合 Stage/Timeline 表</t>
        </is>
      </c>
    </row>
    <row r="2">
      <c r="A2" s="13" t="inlineStr">
        <is>
          <t>全 57 字段 · 取数口径：fctrdt=MAX(每贷款) · 命中 5/5 贷款（无行的贷款列显示 —） · prod 实测 2026-06-04 · 业务日 2026-06-01</t>
        </is>
      </c>
    </row>
    <row r="3" ht="56" customHeight="1">
      <c r="A3" s="14" t="inlineStr">
        <is>
          <t>查询 SQL（prod 只读）：
-- bpms.sync_fcl_stage_info · mysql_prod(只读) · 每贷款 fctrdt=MAX(最新快照) · 业务日 2026-06-01
SELECT t.* FROM bpms.sync_fcl_stage_info t JOIN (SELECT loanid, MAX(fctrdt) AS _md FROM bpms.sync_fcl_stage_info WHERE loanid IN (7727000088,7727000672,7727004200,7727000065,7727000010) GROUP BY loanid) m ON t.loanid=m.loanid AND t.fctrdt=m._md;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30" customHeight="1">
      <c r="A5" s="36" t="inlineStr">
        <is>
          <t>业务含义/目的：BPS 聚合 Stage/Timeline 表(57 列)——各阶段停留天数/时间线。 BPS Stage 面板数据源。</t>
        </is>
      </c>
    </row>
    <row r="6" ht="18" customHeight="1">
      <c r="A6" s="36" t="inlineStr">
        <is>
          <t>何时来查：查 BPS 各阶段天数落库值。</t>
        </is>
      </c>
    </row>
    <row r="7" ht="30" customHeight="1">
      <c r="A7" s="36" t="inlineStr">
        <is>
          <t>为什么这样处理：阶段口径在 Redshift 算清后同步；JOIN portfunding 带 funding 维。</t>
        </is>
      </c>
    </row>
    <row r="8" ht="30" customHeight="1">
      <c r="A8" s="36" t="inlineStr">
        <is>
          <t>数据粒度：1 行/贷款/fctrdt（过滤 activefcflag=1 且 fcremovaldate IS NULL）。</t>
        </is>
      </c>
    </row>
    <row r="9" ht="60" customHeight="1">
      <c r="A9" s="36" t="inlineStr">
        <is>
          <t>上游链路：port.fcl_stage_info(⋈ port.portfunding) → bpms.sync_fcl_stage_info〔GET_FCL_STAGE_DATA asset_managment_config.py:925-929〕</t>
        </is>
      </c>
    </row>
    <row r="10" ht="30" customHeight="1">
      <c r="A10" s="36" t="inlineStr">
        <is>
          <t>全部上游表：port.fcl_stage_info、port.portfunding</t>
        </is>
      </c>
    </row>
    <row r="11" ht="30" customHeight="1">
      <c r="A11" s="36" t="inlineStr">
        <is>
          <t>下游链路：→ bpms.biz_data_view_loan_details_foreclosure(视图) → BPS Stage 面板</t>
        </is>
      </c>
    </row>
    <row r="12" ht="30" customHeight="1">
      <c r="A12" s="36" t="inlineStr">
        <is>
          <t>全部下游表：bpms.biz_data_view_loan_details_foreclosure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10" t="inlineStr">
        <is>
          <t>字段</t>
        </is>
      </c>
      <c r="B14" s="10" t="inlineStr">
        <is>
          <t>7727000088</t>
        </is>
      </c>
      <c r="C14" s="10" t="inlineStr">
        <is>
          <t>7727000672</t>
        </is>
      </c>
      <c r="D14" s="10" t="inlineStr">
        <is>
          <t>7727004200</t>
        </is>
      </c>
      <c r="E14" s="10" t="inlineStr">
        <is>
          <t>7727000065</t>
        </is>
      </c>
      <c r="F14" s="10" t="inlineStr">
        <is>
          <t>7727000010</t>
        </is>
      </c>
    </row>
    <row r="15">
      <c r="A15" s="15" t="inlineStr">
        <is>
          <t>id</t>
        </is>
      </c>
      <c r="B15" s="6" t="inlineStr">
        <is>
          <t>1550100</t>
        </is>
      </c>
      <c r="C15" s="6" t="inlineStr">
        <is>
          <t>1549886</t>
        </is>
      </c>
      <c r="D15" s="6" t="inlineStr">
        <is>
          <t>1545354</t>
        </is>
      </c>
      <c r="E15" s="6" t="inlineStr">
        <is>
          <t>1544054</t>
        </is>
      </c>
      <c r="F15" s="6" t="inlineStr">
        <is>
          <t>1548985</t>
        </is>
      </c>
    </row>
    <row r="16">
      <c r="A16" s="15" t="inlineStr">
        <is>
          <t>stage</t>
        </is>
      </c>
      <c r="B16" s="16" t="inlineStr">
        <is>
          <t>JUDGEMENT</t>
        </is>
      </c>
      <c r="C16" s="16" t="inlineStr">
        <is>
          <t>SALE</t>
        </is>
      </c>
      <c r="D16" s="16" t="inlineStr">
        <is>
          <t>SALE</t>
        </is>
      </c>
      <c r="E16" s="16" t="inlineStr">
        <is>
          <t>JUDGEMENT</t>
        </is>
      </c>
      <c r="F16" s="16" t="inlineStr">
        <is>
          <t>DEMAND</t>
        </is>
      </c>
    </row>
    <row r="17">
      <c r="A17" s="15" t="inlineStr">
        <is>
          <t>fctrdt</t>
        </is>
      </c>
      <c r="B17" s="6" t="inlineStr">
        <is>
          <t>2026-05-25</t>
        </is>
      </c>
      <c r="C17" s="6" t="inlineStr">
        <is>
          <t>2026-05-26</t>
        </is>
      </c>
      <c r="D17" s="6" t="inlineStr">
        <is>
          <t>2026-04-15</t>
        </is>
      </c>
      <c r="E17" s="6" t="inlineStr">
        <is>
          <t>2025-10-14</t>
        </is>
      </c>
      <c r="F17" s="6" t="inlineStr">
        <is>
          <t>2026-05-31</t>
        </is>
      </c>
    </row>
    <row r="18">
      <c r="A18" s="15" t="inlineStr">
        <is>
          <t>loanid</t>
        </is>
      </c>
      <c r="B18" s="16" t="inlineStr">
        <is>
          <t>7727000088</t>
        </is>
      </c>
      <c r="C18" s="16" t="inlineStr">
        <is>
          <t>7727000672</t>
        </is>
      </c>
      <c r="D18" s="16" t="inlineStr">
        <is>
          <t>7727004200</t>
        </is>
      </c>
      <c r="E18" s="16" t="inlineStr">
        <is>
          <t>7727000065</t>
        </is>
      </c>
      <c r="F18" s="16" t="inlineStr">
        <is>
          <t>7727000010</t>
        </is>
      </c>
    </row>
    <row r="19">
      <c r="A19" s="15" t="inlineStr">
        <is>
          <t>group</t>
        </is>
      </c>
      <c r="B19" s="6" t="inlineStr">
        <is>
          <t>REO</t>
        </is>
      </c>
      <c r="C19" s="6" t="inlineStr">
        <is>
          <t>FCL</t>
        </is>
      </c>
      <c r="D19" s="6" t="inlineStr">
        <is>
          <t>FCL</t>
        </is>
      </c>
      <c r="E19" s="6" t="inlineStr">
        <is>
          <t>REO</t>
        </is>
      </c>
      <c r="F19" s="6" t="inlineStr">
        <is>
          <t>D120P</t>
        </is>
      </c>
    </row>
    <row r="20">
      <c r="A20" s="15" t="inlineStr">
        <is>
          <t>servicer</t>
        </is>
      </c>
      <c r="B20" s="16" t="inlineStr">
        <is>
          <t>Newrez</t>
        </is>
      </c>
      <c r="C20" s="16" t="inlineStr">
        <is>
          <t>Newrez</t>
        </is>
      </c>
      <c r="D20" s="16" t="inlineStr">
        <is>
          <t>Newrez</t>
        </is>
      </c>
      <c r="E20" s="16" t="inlineStr">
        <is>
          <t>Newrez</t>
        </is>
      </c>
      <c r="F20" s="16" t="inlineStr">
        <is>
          <t>Newrez</t>
        </is>
      </c>
    </row>
    <row r="21">
      <c r="A21" s="15" t="inlineStr">
        <is>
          <t>state</t>
        </is>
      </c>
      <c r="B21" s="6" t="inlineStr">
        <is>
          <t>FL</t>
        </is>
      </c>
      <c r="C21" s="6" t="inlineStr">
        <is>
          <t>MI</t>
        </is>
      </c>
      <c r="D21" s="6" t="inlineStr">
        <is>
          <t>IL</t>
        </is>
      </c>
      <c r="E21" s="6" t="inlineStr">
        <is>
          <t>FL</t>
        </is>
      </c>
      <c r="F21" s="6" t="inlineStr">
        <is>
          <t>FL</t>
        </is>
      </c>
    </row>
    <row r="22">
      <c r="A22" s="15" t="inlineStr">
        <is>
          <t>judicial</t>
        </is>
      </c>
      <c r="B22" s="16" t="inlineStr">
        <is>
          <t>Y</t>
        </is>
      </c>
      <c r="C22" s="16" t="inlineStr">
        <is>
          <t>N</t>
        </is>
      </c>
      <c r="D22" s="16" t="inlineStr">
        <is>
          <t>Y</t>
        </is>
      </c>
      <c r="E22" s="16" t="inlineStr">
        <is>
          <t>Y</t>
        </is>
      </c>
      <c r="F22" s="16" t="inlineStr">
        <is>
          <t>Y</t>
        </is>
      </c>
    </row>
    <row r="23">
      <c r="A23" s="15" t="inlineStr">
        <is>
          <t>demand_start_date</t>
        </is>
      </c>
      <c r="B23" s="6" t="inlineStr">
        <is>
          <t>2025-02-18</t>
        </is>
      </c>
      <c r="C23" s="6" t="inlineStr">
        <is>
          <t>2025-11-17</t>
        </is>
      </c>
      <c r="D23" s="6" t="inlineStr">
        <is>
          <t>2025-05-20</t>
        </is>
      </c>
      <c r="E23" s="6" t="inlineStr">
        <is>
          <t>2024-08-12</t>
        </is>
      </c>
      <c r="F23" s="6" t="inlineStr">
        <is>
          <t>2026-04-10</t>
        </is>
      </c>
    </row>
    <row r="24">
      <c r="A24" s="15" t="inlineStr">
        <is>
          <t>demand_end_date</t>
        </is>
      </c>
      <c r="B24" s="16" t="inlineStr">
        <is>
          <t>2025-03-25</t>
        </is>
      </c>
      <c r="C24" s="16" t="inlineStr">
        <is>
          <t>2025-12-22</t>
        </is>
      </c>
      <c r="D24" s="16" t="inlineStr">
        <is>
          <t>2025-06-24</t>
        </is>
      </c>
      <c r="E24" s="16" t="inlineStr">
        <is>
          <t>2024-09-18</t>
        </is>
      </c>
      <c r="F24" s="16" t="inlineStr">
        <is>
          <t>2026-05-15</t>
        </is>
      </c>
    </row>
    <row r="25">
      <c r="A25" s="15" t="inlineStr">
        <is>
          <t>demand_stage_days</t>
        </is>
      </c>
      <c r="B25" s="6" t="inlineStr">
        <is>
          <t>464</t>
        </is>
      </c>
      <c r="C25" s="6" t="inlineStr">
        <is>
          <t>193</t>
        </is>
      </c>
      <c r="D25" s="6" t="inlineStr">
        <is>
          <t>333</t>
        </is>
      </c>
      <c r="E25" s="6" t="inlineStr">
        <is>
          <t>431</t>
        </is>
      </c>
      <c r="F25" s="6" t="inlineStr">
        <is>
          <t>54</t>
        </is>
      </c>
    </row>
    <row r="26">
      <c r="A26" s="15" t="inlineStr">
        <is>
          <t>demand_in_lm_days</t>
        </is>
      </c>
      <c r="B26" s="16" t="inlineStr">
        <is>
          <t>—</t>
        </is>
      </c>
      <c r="C26" s="16" t="inlineStr">
        <is>
          <t>93</t>
        </is>
      </c>
      <c r="D26" s="16" t="inlineStr">
        <is>
          <t>197</t>
        </is>
      </c>
      <c r="E26" s="16" t="inlineStr">
        <is>
          <t>—</t>
        </is>
      </c>
      <c r="F26" s="16" t="inlineStr">
        <is>
          <t>—</t>
        </is>
      </c>
    </row>
    <row r="27">
      <c r="A27" s="15" t="inlineStr">
        <is>
          <t>demand_on_hold_days</t>
        </is>
      </c>
      <c r="B27" s="6" t="inlineStr">
        <is>
          <t>—</t>
        </is>
      </c>
      <c r="C27" s="6" t="inlineStr">
        <is>
          <t>17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—</t>
        </is>
      </c>
    </row>
    <row r="28">
      <c r="A28" s="15" t="inlineStr">
        <is>
          <t>noi_start_date</t>
        </is>
      </c>
      <c r="B28" s="16" t="inlineStr">
        <is>
          <t>—</t>
        </is>
      </c>
      <c r="C28" s="16" t="inlineStr">
        <is>
          <t>—</t>
        </is>
      </c>
      <c r="D28" s="16" t="inlineStr">
        <is>
          <t>—</t>
        </is>
      </c>
      <c r="E28" s="16" t="inlineStr">
        <is>
          <t>—</t>
        </is>
      </c>
      <c r="F28" s="16" t="inlineStr">
        <is>
          <t>—</t>
        </is>
      </c>
    </row>
    <row r="29">
      <c r="A29" s="15" t="inlineStr">
        <is>
          <t>noi_end_date</t>
        </is>
      </c>
      <c r="B29" s="6" t="inlineStr">
        <is>
          <t>—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</row>
    <row r="30">
      <c r="A30" s="15" t="inlineStr">
        <is>
          <t>noi_stage_days</t>
        </is>
      </c>
      <c r="B30" s="16" t="inlineStr">
        <is>
          <t>—</t>
        </is>
      </c>
      <c r="C30" s="16" t="inlineStr">
        <is>
          <t>—</t>
        </is>
      </c>
      <c r="D30" s="16" t="inlineStr">
        <is>
          <t>—</t>
        </is>
      </c>
      <c r="E30" s="16" t="inlineStr">
        <is>
          <t>—</t>
        </is>
      </c>
      <c r="F30" s="16" t="inlineStr">
        <is>
          <t>—</t>
        </is>
      </c>
    </row>
    <row r="31">
      <c r="A31" s="15" t="inlineStr">
        <is>
          <t>noi_in_lm_days</t>
        </is>
      </c>
      <c r="B31" s="6" t="inlineStr">
        <is>
          <t>—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—</t>
        </is>
      </c>
      <c r="F31" s="6" t="inlineStr">
        <is>
          <t>—</t>
        </is>
      </c>
    </row>
    <row r="32">
      <c r="A32" s="15" t="inlineStr">
        <is>
          <t>noi_on_hold_days</t>
        </is>
      </c>
      <c r="B32" s="16" t="inlineStr">
        <is>
          <t>—</t>
        </is>
      </c>
      <c r="C32" s="16" t="inlineStr">
        <is>
          <t>—</t>
        </is>
      </c>
      <c r="D32" s="16" t="inlineStr">
        <is>
          <t>—</t>
        </is>
      </c>
      <c r="E32" s="16" t="inlineStr">
        <is>
          <t>—</t>
        </is>
      </c>
      <c r="F32" s="16" t="inlineStr">
        <is>
          <t>—</t>
        </is>
      </c>
    </row>
    <row r="33">
      <c r="A33" s="15" t="inlineStr">
        <is>
          <t>referral_start_date</t>
        </is>
      </c>
      <c r="B33" s="6" t="inlineStr">
        <is>
          <t>2025-05-23</t>
        </is>
      </c>
      <c r="C33" s="6" t="inlineStr">
        <is>
          <t>2026-03-09</t>
        </is>
      </c>
      <c r="D33" s="6" t="inlineStr">
        <is>
          <t>2025-06-27</t>
        </is>
      </c>
      <c r="E33" s="6" t="inlineStr">
        <is>
          <t>2025-02-03</t>
        </is>
      </c>
      <c r="F33" s="6" t="inlineStr">
        <is>
          <t>—</t>
        </is>
      </c>
    </row>
    <row r="34">
      <c r="A34" s="15" t="inlineStr">
        <is>
          <t>referral_end_date</t>
        </is>
      </c>
      <c r="B34" s="16" t="inlineStr">
        <is>
          <t>2025-06-13</t>
        </is>
      </c>
      <c r="C34" s="16" t="inlineStr">
        <is>
          <t>2026-03-25</t>
        </is>
      </c>
      <c r="D34" s="16" t="inlineStr">
        <is>
          <t>2025-07-21</t>
        </is>
      </c>
      <c r="E34" s="16" t="inlineStr">
        <is>
          <t>2025-03-27</t>
        </is>
      </c>
      <c r="F34" s="16" t="inlineStr">
        <is>
          <t>—</t>
        </is>
      </c>
    </row>
    <row r="35">
      <c r="A35" s="15" t="inlineStr">
        <is>
          <t>referral_stage_days</t>
        </is>
      </c>
      <c r="B35" s="6" t="inlineStr">
        <is>
          <t>22</t>
        </is>
      </c>
      <c r="C35" s="6" t="inlineStr">
        <is>
          <t>17</t>
        </is>
      </c>
      <c r="D35" s="6" t="inlineStr">
        <is>
          <t>25</t>
        </is>
      </c>
      <c r="E35" s="6" t="inlineStr">
        <is>
          <t>53</t>
        </is>
      </c>
      <c r="F35" s="6" t="inlineStr">
        <is>
          <t>—</t>
        </is>
      </c>
    </row>
    <row r="36">
      <c r="A36" s="15" t="inlineStr">
        <is>
          <t>referral_in_lm_days</t>
        </is>
      </c>
      <c r="B36" s="16" t="inlineStr">
        <is>
          <t>—</t>
        </is>
      </c>
      <c r="C36" s="16" t="inlineStr">
        <is>
          <t>—</t>
        </is>
      </c>
      <c r="D36" s="16" t="inlineStr">
        <is>
          <t>—</t>
        </is>
      </c>
      <c r="E36" s="16" t="inlineStr">
        <is>
          <t>—</t>
        </is>
      </c>
      <c r="F36" s="16" t="inlineStr">
        <is>
          <t>—</t>
        </is>
      </c>
    </row>
    <row r="37">
      <c r="A37" s="15" t="inlineStr">
        <is>
          <t>referral_on_hold_days</t>
        </is>
      </c>
      <c r="B37" s="6" t="inlineStr">
        <is>
          <t>—</t>
        </is>
      </c>
      <c r="C37" s="6" t="inlineStr">
        <is>
          <t>1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</row>
    <row r="38">
      <c r="A38" s="15" t="inlineStr">
        <is>
          <t>first_legal_start_date</t>
        </is>
      </c>
      <c r="B38" s="16" t="inlineStr">
        <is>
          <t>2025-06-13</t>
        </is>
      </c>
      <c r="C38" s="16" t="inlineStr">
        <is>
          <t>2026-03-25</t>
        </is>
      </c>
      <c r="D38" s="16" t="inlineStr">
        <is>
          <t>2025-07-21</t>
        </is>
      </c>
      <c r="E38" s="16" t="inlineStr">
        <is>
          <t>2025-03-27</t>
        </is>
      </c>
      <c r="F38" s="16" t="inlineStr">
        <is>
          <t>—</t>
        </is>
      </c>
    </row>
    <row r="39">
      <c r="A39" s="15" t="inlineStr">
        <is>
          <t>first_legal_end_date</t>
        </is>
      </c>
      <c r="B39" s="6" t="inlineStr">
        <is>
          <t>2025-07-18</t>
        </is>
      </c>
      <c r="C39" s="6" t="inlineStr">
        <is>
          <t>—</t>
        </is>
      </c>
      <c r="D39" s="6" t="inlineStr">
        <is>
          <t>2025-12-24</t>
        </is>
      </c>
      <c r="E39" s="6" t="inlineStr">
        <is>
          <t>2025-05-03</t>
        </is>
      </c>
      <c r="F39" s="6" t="inlineStr">
        <is>
          <t>—</t>
        </is>
      </c>
    </row>
    <row r="40">
      <c r="A40" s="15" t="inlineStr">
        <is>
          <t>first_legal_stage_days</t>
        </is>
      </c>
      <c r="B40" s="16" t="inlineStr">
        <is>
          <t>36</t>
        </is>
      </c>
      <c r="C40" s="16" t="inlineStr">
        <is>
          <t>65</t>
        </is>
      </c>
      <c r="D40" s="16" t="inlineStr">
        <is>
          <t>157</t>
        </is>
      </c>
      <c r="E40" s="16" t="inlineStr">
        <is>
          <t>38</t>
        </is>
      </c>
      <c r="F40" s="16" t="inlineStr">
        <is>
          <t>—</t>
        </is>
      </c>
    </row>
    <row r="41">
      <c r="A41" s="15" t="inlineStr">
        <is>
          <t>first_legal_in_lm_days</t>
        </is>
      </c>
      <c r="B41" s="6" t="inlineStr">
        <is>
          <t>—</t>
        </is>
      </c>
      <c r="C41" s="6" t="inlineStr">
        <is>
          <t>—</t>
        </is>
      </c>
      <c r="D41" s="6" t="inlineStr">
        <is>
          <t>83</t>
        </is>
      </c>
      <c r="E41" s="6" t="inlineStr">
        <is>
          <t>—</t>
        </is>
      </c>
      <c r="F41" s="6" t="inlineStr">
        <is>
          <t>—</t>
        </is>
      </c>
    </row>
    <row r="42">
      <c r="A42" s="15" t="inlineStr">
        <is>
          <t>first_legal_on_hold_days</t>
        </is>
      </c>
      <c r="B42" s="16" t="inlineStr">
        <is>
          <t>—</t>
        </is>
      </c>
      <c r="C42" s="16" t="inlineStr">
        <is>
          <t>17</t>
        </is>
      </c>
      <c r="D42" s="16" t="inlineStr">
        <is>
          <t>—</t>
        </is>
      </c>
      <c r="E42" s="16" t="inlineStr">
        <is>
          <t>—</t>
        </is>
      </c>
      <c r="F42" s="16" t="inlineStr">
        <is>
          <t>—</t>
        </is>
      </c>
    </row>
    <row r="43">
      <c r="A43" s="15" t="inlineStr">
        <is>
          <t>first_legal_date_history</t>
        </is>
      </c>
      <c r="B43" s="6" t="inlineStr">
        <is>
          <t>—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</row>
    <row r="44">
      <c r="A44" s="15" t="inlineStr">
        <is>
          <t>service_start_date</t>
        </is>
      </c>
      <c r="B44" s="16" t="inlineStr">
        <is>
          <t>2025-07-18</t>
        </is>
      </c>
      <c r="C44" s="16" t="inlineStr">
        <is>
          <t>—</t>
        </is>
      </c>
      <c r="D44" s="16" t="inlineStr">
        <is>
          <t>2025-12-24</t>
        </is>
      </c>
      <c r="E44" s="16" t="inlineStr">
        <is>
          <t>2025-05-03</t>
        </is>
      </c>
      <c r="F44" s="16" t="inlineStr">
        <is>
          <t>—</t>
        </is>
      </c>
    </row>
    <row r="45">
      <c r="A45" s="15" t="inlineStr">
        <is>
          <t>service_end_date</t>
        </is>
      </c>
      <c r="B45" s="6" t="inlineStr">
        <is>
          <t>2025-12-17</t>
        </is>
      </c>
      <c r="C45" s="6" t="inlineStr">
        <is>
          <t>—</t>
        </is>
      </c>
      <c r="D45" s="6" t="inlineStr">
        <is>
          <t>2026-02-13</t>
        </is>
      </c>
      <c r="E45" s="6" t="inlineStr">
        <is>
          <t>2025-07-15</t>
        </is>
      </c>
      <c r="F45" s="6" t="inlineStr">
        <is>
          <t>—</t>
        </is>
      </c>
    </row>
    <row r="46">
      <c r="A46" s="15" t="inlineStr">
        <is>
          <t>service_stage_days</t>
        </is>
      </c>
      <c r="B46" s="16" t="inlineStr">
        <is>
          <t>153</t>
        </is>
      </c>
      <c r="C46" s="16" t="inlineStr">
        <is>
          <t>—</t>
        </is>
      </c>
      <c r="D46" s="16" t="inlineStr">
        <is>
          <t>52</t>
        </is>
      </c>
      <c r="E46" s="16" t="inlineStr">
        <is>
          <t>74</t>
        </is>
      </c>
      <c r="F46" s="16" t="inlineStr">
        <is>
          <t>—</t>
        </is>
      </c>
    </row>
    <row r="47">
      <c r="A47" s="15" t="inlineStr">
        <is>
          <t>service_in_lm_days</t>
        </is>
      </c>
      <c r="B47" s="6" t="inlineStr">
        <is>
          <t>—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</row>
    <row r="48">
      <c r="A48" s="15" t="inlineStr">
        <is>
          <t>service_on_hold_days</t>
        </is>
      </c>
      <c r="B48" s="16" t="inlineStr">
        <is>
          <t>—</t>
        </is>
      </c>
      <c r="C48" s="16" t="inlineStr">
        <is>
          <t>—</t>
        </is>
      </c>
      <c r="D48" s="16" t="inlineStr">
        <is>
          <t>—</t>
        </is>
      </c>
      <c r="E48" s="16" t="inlineStr">
        <is>
          <t>—</t>
        </is>
      </c>
      <c r="F48" s="16" t="inlineStr">
        <is>
          <t>—</t>
        </is>
      </c>
    </row>
    <row r="49">
      <c r="A49" s="15" t="inlineStr">
        <is>
          <t>publication_start_date</t>
        </is>
      </c>
      <c r="B49" s="6" t="inlineStr">
        <is>
          <t>—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</row>
    <row r="50">
      <c r="A50" s="15" t="inlineStr">
        <is>
          <t>publication_end_date</t>
        </is>
      </c>
      <c r="B50" s="16" t="inlineStr">
        <is>
          <t>—</t>
        </is>
      </c>
      <c r="C50" s="16" t="inlineStr">
        <is>
          <t>—</t>
        </is>
      </c>
      <c r="D50" s="16" t="inlineStr">
        <is>
          <t>—</t>
        </is>
      </c>
      <c r="E50" s="16" t="inlineStr">
        <is>
          <t>—</t>
        </is>
      </c>
      <c r="F50" s="16" t="inlineStr">
        <is>
          <t>—</t>
        </is>
      </c>
    </row>
    <row r="51">
      <c r="A51" s="15" t="inlineStr">
        <is>
          <t>publication_stage_days</t>
        </is>
      </c>
      <c r="B51" s="6" t="inlineStr">
        <is>
          <t>—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</row>
    <row r="52">
      <c r="A52" s="15" t="inlineStr">
        <is>
          <t>publication_in_lm_days</t>
        </is>
      </c>
      <c r="B52" s="16" t="inlineStr">
        <is>
          <t>—</t>
        </is>
      </c>
      <c r="C52" s="16" t="inlineStr">
        <is>
          <t>—</t>
        </is>
      </c>
      <c r="D52" s="16" t="inlineStr">
        <is>
          <t>—</t>
        </is>
      </c>
      <c r="E52" s="16" t="inlineStr">
        <is>
          <t>—</t>
        </is>
      </c>
      <c r="F52" s="16" t="inlineStr">
        <is>
          <t>—</t>
        </is>
      </c>
    </row>
    <row r="53">
      <c r="A53" s="15" t="inlineStr">
        <is>
          <t>publication_on_hold_days</t>
        </is>
      </c>
      <c r="B53" s="6" t="inlineStr">
        <is>
          <t>—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</row>
    <row r="54">
      <c r="A54" s="15" t="inlineStr">
        <is>
          <t>judgement_start_date</t>
        </is>
      </c>
      <c r="B54" s="16" t="inlineStr">
        <is>
          <t>2026-03-27</t>
        </is>
      </c>
      <c r="C54" s="16" t="inlineStr">
        <is>
          <t>—</t>
        </is>
      </c>
      <c r="D54" s="16" t="inlineStr">
        <is>
          <t>2026-04-13</t>
        </is>
      </c>
      <c r="E54" s="16" t="inlineStr">
        <is>
          <t>2025-10-15</t>
        </is>
      </c>
      <c r="F54" s="16" t="inlineStr">
        <is>
          <t>—</t>
        </is>
      </c>
    </row>
    <row r="55">
      <c r="A55" s="15" t="inlineStr">
        <is>
          <t>judgement_end_date</t>
        </is>
      </c>
      <c r="B55" s="6" t="inlineStr">
        <is>
          <t>—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</row>
    <row r="56">
      <c r="A56" s="15" t="inlineStr">
        <is>
          <t>to_judgement_days</t>
        </is>
      </c>
      <c r="B56" s="16" t="inlineStr">
        <is>
          <t>0</t>
        </is>
      </c>
      <c r="C56" s="16" t="inlineStr">
        <is>
          <t>—</t>
        </is>
      </c>
      <c r="D56" s="16" t="inlineStr">
        <is>
          <t>0</t>
        </is>
      </c>
      <c r="E56" s="16" t="inlineStr">
        <is>
          <t>0</t>
        </is>
      </c>
      <c r="F56" s="16" t="inlineStr">
        <is>
          <t>—</t>
        </is>
      </c>
    </row>
    <row r="57">
      <c r="A57" s="15" t="inlineStr">
        <is>
          <t>judgement_in_lm_days</t>
        </is>
      </c>
      <c r="B57" s="6" t="inlineStr">
        <is>
          <t>—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</row>
    <row r="58">
      <c r="A58" s="15" t="inlineStr">
        <is>
          <t>judgement_on_hold_days</t>
        </is>
      </c>
      <c r="B58" s="16" t="inlineStr">
        <is>
          <t>—</t>
        </is>
      </c>
      <c r="C58" s="16" t="inlineStr">
        <is>
          <t>—</t>
        </is>
      </c>
      <c r="D58" s="16" t="inlineStr">
        <is>
          <t>—</t>
        </is>
      </c>
      <c r="E58" s="16" t="inlineStr">
        <is>
          <t>—</t>
        </is>
      </c>
      <c r="F58" s="16" t="inlineStr">
        <is>
          <t>—</t>
        </is>
      </c>
    </row>
    <row r="59">
      <c r="A59" s="15" t="inlineStr">
        <is>
          <t>sale_start_date</t>
        </is>
      </c>
      <c r="B59" s="6" t="inlineStr">
        <is>
          <t>—</t>
        </is>
      </c>
      <c r="C59" s="6" t="inlineStr">
        <is>
          <t>2026-08-06</t>
        </is>
      </c>
      <c r="D59" s="6" t="inlineStr">
        <is>
          <t>2026-05-19</t>
        </is>
      </c>
      <c r="E59" s="6" t="inlineStr">
        <is>
          <t>—</t>
        </is>
      </c>
      <c r="F59" s="6" t="inlineStr">
        <is>
          <t>—</t>
        </is>
      </c>
    </row>
    <row r="60">
      <c r="A60" s="15" t="inlineStr">
        <is>
          <t>sale_end_date</t>
        </is>
      </c>
      <c r="B60" s="16" t="inlineStr">
        <is>
          <t>—</t>
        </is>
      </c>
      <c r="C60" s="16" t="inlineStr">
        <is>
          <t>—</t>
        </is>
      </c>
      <c r="D60" s="16" t="inlineStr">
        <is>
          <t>—</t>
        </is>
      </c>
      <c r="E60" s="16" t="inlineStr">
        <is>
          <t>—</t>
        </is>
      </c>
      <c r="F60" s="16" t="inlineStr">
        <is>
          <t>—</t>
        </is>
      </c>
    </row>
    <row r="61">
      <c r="A61" s="15" t="inlineStr">
        <is>
          <t>to_sale_days</t>
        </is>
      </c>
      <c r="B61" s="6" t="inlineStr">
        <is>
          <t>—</t>
        </is>
      </c>
      <c r="C61" s="6" t="inlineStr">
        <is>
          <t>70</t>
        </is>
      </c>
      <c r="D61" s="6" t="inlineStr">
        <is>
          <t>32</t>
        </is>
      </c>
      <c r="E61" s="6" t="inlineStr">
        <is>
          <t>—</t>
        </is>
      </c>
      <c r="F61" s="6" t="inlineStr">
        <is>
          <t>—</t>
        </is>
      </c>
    </row>
    <row r="62">
      <c r="A62" s="15" t="inlineStr">
        <is>
          <t>sale_in_lm_days</t>
        </is>
      </c>
      <c r="B62" s="16" t="inlineStr">
        <is>
          <t>—</t>
        </is>
      </c>
      <c r="C62" s="16" t="inlineStr">
        <is>
          <t>—</t>
        </is>
      </c>
      <c r="D62" s="16" t="inlineStr">
        <is>
          <t>—</t>
        </is>
      </c>
      <c r="E62" s="16" t="inlineStr">
        <is>
          <t>—</t>
        </is>
      </c>
      <c r="F62" s="16" t="inlineStr">
        <is>
          <t>—</t>
        </is>
      </c>
    </row>
    <row r="63">
      <c r="A63" s="15" t="inlineStr">
        <is>
          <t>sale_on_hold_days</t>
        </is>
      </c>
      <c r="B63" s="6" t="inlineStr">
        <is>
          <t>—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</row>
    <row r="64">
      <c r="A64" s="15" t="inlineStr">
        <is>
          <t>create_time</t>
        </is>
      </c>
      <c r="B64" s="16" t="inlineStr">
        <is>
          <t>2026-06-06 08:52:45</t>
        </is>
      </c>
      <c r="C64" s="16" t="inlineStr">
        <is>
          <t>2026-06-06 08:52:45</t>
        </is>
      </c>
      <c r="D64" s="16" t="inlineStr">
        <is>
          <t>2026-06-06 08:52:45</t>
        </is>
      </c>
      <c r="E64" s="16" t="inlineStr">
        <is>
          <t>2026-06-06 08:52:45</t>
        </is>
      </c>
      <c r="F64" s="16" t="inlineStr">
        <is>
          <t>2026-06-06 08:52:45</t>
        </is>
      </c>
    </row>
    <row r="65">
      <c r="A65" s="15" t="inlineStr">
        <is>
          <t>update_time</t>
        </is>
      </c>
      <c r="B65" s="6" t="inlineStr">
        <is>
          <t>2026-06-06 08:52:45</t>
        </is>
      </c>
      <c r="C65" s="6" t="inlineStr">
        <is>
          <t>2026-06-06 08:52:45</t>
        </is>
      </c>
      <c r="D65" s="6" t="inlineStr">
        <is>
          <t>2026-06-06 08:52:45</t>
        </is>
      </c>
      <c r="E65" s="6" t="inlineStr">
        <is>
          <t>2026-06-06 08:52:45</t>
        </is>
      </c>
      <c r="F65" s="6" t="inlineStr">
        <is>
          <t>2026-06-06 08:52:45</t>
        </is>
      </c>
    </row>
    <row r="66">
      <c r="A66" s="15" t="inlineStr">
        <is>
          <t>create_user</t>
        </is>
      </c>
      <c r="B66" s="16" t="inlineStr">
        <is>
          <t>—</t>
        </is>
      </c>
      <c r="C66" s="16" t="inlineStr">
        <is>
          <t>—</t>
        </is>
      </c>
      <c r="D66" s="16" t="inlineStr">
        <is>
          <t>—</t>
        </is>
      </c>
      <c r="E66" s="16" t="inlineStr">
        <is>
          <t>—</t>
        </is>
      </c>
      <c r="F66" s="16" t="inlineStr">
        <is>
          <t>—</t>
        </is>
      </c>
    </row>
    <row r="67">
      <c r="A67" s="15" t="inlineStr">
        <is>
          <t>create_dept</t>
        </is>
      </c>
      <c r="B67" s="6" t="inlineStr">
        <is>
          <t>—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</row>
    <row r="68">
      <c r="A68" s="15" t="inlineStr">
        <is>
          <t>update_user</t>
        </is>
      </c>
      <c r="B68" s="16" t="inlineStr">
        <is>
          <t>—</t>
        </is>
      </c>
      <c r="C68" s="16" t="inlineStr">
        <is>
          <t>—</t>
        </is>
      </c>
      <c r="D68" s="16" t="inlineStr">
        <is>
          <t>—</t>
        </is>
      </c>
      <c r="E68" s="16" t="inlineStr">
        <is>
          <t>—</t>
        </is>
      </c>
      <c r="F68" s="16" t="inlineStr">
        <is>
          <t>—</t>
        </is>
      </c>
    </row>
    <row r="69">
      <c r="A69" s="15" t="inlineStr">
        <is>
          <t>status</t>
        </is>
      </c>
      <c r="B69" s="6" t="inlineStr">
        <is>
          <t>0</t>
        </is>
      </c>
      <c r="C69" s="6" t="inlineStr">
        <is>
          <t>0</t>
        </is>
      </c>
      <c r="D69" s="6" t="inlineStr">
        <is>
          <t>0</t>
        </is>
      </c>
      <c r="E69" s="6" t="inlineStr">
        <is>
          <t>0</t>
        </is>
      </c>
      <c r="F69" s="6" t="inlineStr">
        <is>
          <t>0</t>
        </is>
      </c>
    </row>
    <row r="70">
      <c r="A70" s="15" t="inlineStr">
        <is>
          <t>is_deleted</t>
        </is>
      </c>
      <c r="B70" s="16" t="inlineStr">
        <is>
          <t>0</t>
        </is>
      </c>
      <c r="C70" s="16" t="inlineStr">
        <is>
          <t>0</t>
        </is>
      </c>
      <c r="D70" s="16" t="inlineStr">
        <is>
          <t>0</t>
        </is>
      </c>
      <c r="E70" s="16" t="inlineStr">
        <is>
          <t>0</t>
        </is>
      </c>
      <c r="F70" s="16" t="inlineStr">
        <is>
          <t>0</t>
        </is>
      </c>
    </row>
    <row r="71">
      <c r="A71" s="15" t="inlineStr">
        <is>
          <t>tenant_id</t>
        </is>
      </c>
      <c r="B71" s="6" t="inlineStr">
        <is>
          <t>000000</t>
        </is>
      </c>
      <c r="C71" s="6" t="inlineStr">
        <is>
          <t>000000</t>
        </is>
      </c>
      <c r="D71" s="6" t="inlineStr">
        <is>
          <t>000000</t>
        </is>
      </c>
      <c r="E71" s="6" t="inlineStr">
        <is>
          <t>000000</t>
        </is>
      </c>
      <c r="F71" s="6" t="inlineStr">
        <is>
          <t>000000</t>
        </is>
      </c>
    </row>
  </sheetData>
  <mergeCells count="13">
    <mergeCell ref="A2:F2"/>
    <mergeCell ref="A11:F11"/>
    <mergeCell ref="A10:F10"/>
    <mergeCell ref="A13:F13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0" customHeight="1">
      <c r="A1" s="9" t="inlineStr">
        <is>
          <t>bpms.biz_data_view_loan_details_foreclosure — 详情页视图（actual/var 天数；每贷款最新 fctrdt）</t>
        </is>
      </c>
    </row>
    <row r="2">
      <c r="A2" s="13" t="inlineStr">
        <is>
          <t>全 104 字段 · 取数口径：每贷款 fctrdt 最新一行 · 命中 5/5 贷款（无行的贷款列显示 —） · prod 实测 2026-06-04 · 业务日 2026-06-01</t>
        </is>
      </c>
    </row>
    <row r="3" ht="56" customHeight="1">
      <c r="A3" s="14" t="inlineStr">
        <is>
          <t>查询 SQL（prod 只读）：
-- bpms.biz_data_view_loan_details_foreclosure · mysql_prod(只读) · 每贷款 fctrdt=MAX(最新快照) · 业务日 2026-06-01
SELECT t.* FROM bpms.biz_data_view_loan_details_foreclosure t JOIN (SELECT loanid, MAX(fctrdt) AS _md FROM bpms.biz_data_view_loan_details_foreclosure WHERE loanid IN (7727000088,7727000672,7727004200,7727000065,7727000010) GROUP BY loanid) m ON t.loanid=m.loanid AND t.fctrdt=m._md;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45" customHeight="1">
      <c r="A5" s="36" t="inlineStr">
        <is>
          <t>业务含义/目的：BPS 法拍详情页视图(104 列)——把主表 + stage + hold + lm + bk 用 LEFT JOIN 拼成详情页；含 actual/var 天数。 BPS 详情页的‘一站式’读取视图。</t>
        </is>
      </c>
    </row>
    <row r="6" ht="30" customHeight="1">
      <c r="A6" s="36" t="inlineStr">
        <is>
          <t>何时来查：查详情页某列从哪几张 sync 表拼来、actual vs target 差异。</t>
        </is>
      </c>
    </row>
    <row r="7" ht="18" customHeight="1">
      <c r="A7" s="36" t="inlineStr">
        <is>
          <t>为什么这样处理：详情页要跨 5 张面板表聚合，用视图免去前端多次查询。</t>
        </is>
      </c>
    </row>
    <row r="8" ht="18" customHeight="1">
      <c r="A8" s="36" t="inlineStr">
        <is>
          <t>数据粒度：1 行/贷款/fctrdt（取最新）。</t>
        </is>
      </c>
    </row>
    <row r="9" ht="90" customHeight="1">
      <c r="A9" s="36" t="inlineStr">
        <is>
          <t>上游链路：{ bpms.sync_loan_foreclosure + bpms.sync_fcl_stage_info + bpms.sync_loan_foreclosure_hold + bpms.sync_loan_foreclosure_loss_mitigation + bpms.sync_loan_foreclosure_bankruptcy } → 视图(LEFT JOIN，104 列)</t>
        </is>
      </c>
    </row>
    <row r="10" ht="75" customHeight="1">
      <c r="A10" s="36" t="inlineStr">
        <is>
          <t>全部上游表：bpms.sync_loan_foreclosure、bpms.sync_fcl_stage_info、bpms.sync_loan_foreclosure_hold、bpms.sync_loan_foreclosure_loss_mitigation、bpms.sync_loan_foreclosure_bankruptcy</t>
        </is>
      </c>
    </row>
    <row r="11" ht="18" customHeight="1">
      <c r="A11" s="36" t="inlineStr">
        <is>
          <t>下游链路：→ BPS 法拍详情页 UI（5 面板）</t>
        </is>
      </c>
    </row>
    <row r="12" ht="18" customHeight="1">
      <c r="A12" s="36" t="inlineStr">
        <is>
          <t>全部下游表：BPS 法拍详情页 UI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10" t="inlineStr">
        <is>
          <t>字段</t>
        </is>
      </c>
      <c r="B14" s="10" t="inlineStr">
        <is>
          <t>7727000088</t>
        </is>
      </c>
      <c r="C14" s="10" t="inlineStr">
        <is>
          <t>7727000672</t>
        </is>
      </c>
      <c r="D14" s="10" t="inlineStr">
        <is>
          <t>7727004200</t>
        </is>
      </c>
      <c r="E14" s="10" t="inlineStr">
        <is>
          <t>7727000065</t>
        </is>
      </c>
      <c r="F14" s="10" t="inlineStr">
        <is>
          <t>7727000010</t>
        </is>
      </c>
    </row>
    <row r="15">
      <c r="A15" s="15" t="inlineStr">
        <is>
          <t>id</t>
        </is>
      </c>
      <c r="B15" s="6" t="inlineStr">
        <is>
          <t>217</t>
        </is>
      </c>
      <c r="C15" s="6" t="inlineStr">
        <is>
          <t>530</t>
        </is>
      </c>
      <c r="D15" s="6" t="inlineStr">
        <is>
          <t>257</t>
        </is>
      </c>
      <c r="E15" s="6" t="inlineStr">
        <is>
          <t>82</t>
        </is>
      </c>
      <c r="F15" s="6" t="inlineStr">
        <is>
          <t>—</t>
        </is>
      </c>
    </row>
    <row r="16">
      <c r="A16" s="15" t="inlineStr">
        <is>
          <t>loanid</t>
        </is>
      </c>
      <c r="B16" s="16" t="inlineStr">
        <is>
          <t>7727000088</t>
        </is>
      </c>
      <c r="C16" s="16" t="inlineStr">
        <is>
          <t>7727000672</t>
        </is>
      </c>
      <c r="D16" s="16" t="inlineStr">
        <is>
          <t>7727004200</t>
        </is>
      </c>
      <c r="E16" s="16" t="inlineStr">
        <is>
          <t>7727000065</t>
        </is>
      </c>
      <c r="F16" s="16" t="inlineStr">
        <is>
          <t>7727000010</t>
        </is>
      </c>
    </row>
    <row r="17">
      <c r="A17" s="15" t="inlineStr">
        <is>
          <t>svcloanid</t>
        </is>
      </c>
      <c r="B17" s="6" t="inlineStr">
        <is>
          <t>1031718838</t>
        </is>
      </c>
      <c r="C17" s="6" t="inlineStr">
        <is>
          <t>1032761570</t>
        </is>
      </c>
      <c r="D17" s="6" t="inlineStr">
        <is>
          <t>0688132141</t>
        </is>
      </c>
      <c r="E17" s="6" t="inlineStr">
        <is>
          <t>1031718621</t>
        </is>
      </c>
      <c r="F17" s="6" t="inlineStr">
        <is>
          <t>1031718692</t>
        </is>
      </c>
    </row>
    <row r="18">
      <c r="A18" s="15" t="inlineStr">
        <is>
          <t>fctrdt</t>
        </is>
      </c>
      <c r="B18" s="16" t="inlineStr">
        <is>
          <t>2026-06-01</t>
        </is>
      </c>
      <c r="C18" s="16" t="inlineStr">
        <is>
          <t>2026-06-01</t>
        </is>
      </c>
      <c r="D18" s="16" t="inlineStr">
        <is>
          <t>2026-06-01</t>
        </is>
      </c>
      <c r="E18" s="16" t="inlineStr">
        <is>
          <t>2026-06-01</t>
        </is>
      </c>
      <c r="F18" s="16" t="inlineStr">
        <is>
          <t>2026-06-01</t>
        </is>
      </c>
    </row>
    <row r="19">
      <c r="A19" s="15" t="inlineStr">
        <is>
          <t>nextduedate</t>
        </is>
      </c>
      <c r="B19" s="6" t="inlineStr">
        <is>
          <t>2025-01-01</t>
        </is>
      </c>
      <c r="C19" s="6" t="inlineStr">
        <is>
          <t>2026-02-01</t>
        </is>
      </c>
      <c r="D19" s="6" t="inlineStr">
        <is>
          <t>2024-12-01</t>
        </is>
      </c>
      <c r="E19" s="6" t="inlineStr">
        <is>
          <t>2024-03-01</t>
        </is>
      </c>
      <c r="F19" s="6" t="inlineStr">
        <is>
          <t>2026-01-01</t>
        </is>
      </c>
    </row>
    <row r="20">
      <c r="A20" s="15" t="inlineStr">
        <is>
          <t>timeline_notice_of_intent_date</t>
        </is>
      </c>
      <c r="B20" s="16" t="inlineStr">
        <is>
          <t>—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—</t>
        </is>
      </c>
      <c r="F20" s="16" t="inlineStr">
        <is>
          <t>—</t>
        </is>
      </c>
    </row>
    <row r="21">
      <c r="A21" s="15" t="inlineStr">
        <is>
          <t>timeline_notice_of_intent_end_date</t>
        </is>
      </c>
      <c r="B21" s="6" t="inlineStr">
        <is>
          <t>—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</row>
    <row r="22">
      <c r="A22" s="15" t="inlineStr">
        <is>
          <t>timeline_approved_for_referral_date</t>
        </is>
      </c>
      <c r="B22" s="16" t="inlineStr">
        <is>
          <t>—</t>
        </is>
      </c>
      <c r="C22" s="16" t="inlineStr">
        <is>
          <t>—</t>
        </is>
      </c>
      <c r="D22" s="16" t="inlineStr">
        <is>
          <t>—</t>
        </is>
      </c>
      <c r="E22" s="16" t="inlineStr">
        <is>
          <t>—</t>
        </is>
      </c>
      <c r="F22" s="16" t="inlineStr">
        <is>
          <t>—</t>
        </is>
      </c>
    </row>
    <row r="23">
      <c r="A23" s="15" t="inlineStr">
        <is>
          <t>timeline_referred_to_attorney_date</t>
        </is>
      </c>
      <c r="B23" s="6" t="inlineStr">
        <is>
          <t>—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</row>
    <row r="24">
      <c r="A24" s="15" t="inlineStr">
        <is>
          <t>timeline_referred_to_foreclosure_date</t>
        </is>
      </c>
      <c r="B24" s="16" t="inlineStr">
        <is>
          <t>2025-05-23</t>
        </is>
      </c>
      <c r="C24" s="16" t="inlineStr">
        <is>
          <t>2026-03-09</t>
        </is>
      </c>
      <c r="D24" s="16" t="inlineStr">
        <is>
          <t>2025-06-27</t>
        </is>
      </c>
      <c r="E24" s="16" t="inlineStr">
        <is>
          <t>2025-02-03</t>
        </is>
      </c>
      <c r="F24" s="16" t="inlineStr">
        <is>
          <t>—</t>
        </is>
      </c>
    </row>
    <row r="25">
      <c r="A25" s="15" t="inlineStr">
        <is>
          <t>timeline_title_report_received_date</t>
        </is>
      </c>
      <c r="B25" s="6" t="inlineStr">
        <is>
          <t>—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2025-12-02</t>
        </is>
      </c>
      <c r="F25" s="6" t="inlineStr">
        <is>
          <t>—</t>
        </is>
      </c>
    </row>
    <row r="26">
      <c r="A26" s="15" t="inlineStr">
        <is>
          <t>timeline_preliminary_title_cleared_date</t>
        </is>
      </c>
      <c r="B26" s="16" t="inlineStr">
        <is>
          <t>—</t>
        </is>
      </c>
      <c r="C26" s="16" t="inlineStr">
        <is>
          <t>—</t>
        </is>
      </c>
      <c r="D26" s="16" t="inlineStr">
        <is>
          <t>—</t>
        </is>
      </c>
      <c r="E26" s="16" t="inlineStr">
        <is>
          <t>—</t>
        </is>
      </c>
      <c r="F26" s="16" t="inlineStr">
        <is>
          <t>—</t>
        </is>
      </c>
    </row>
    <row r="27">
      <c r="A27" s="15" t="inlineStr">
        <is>
          <t>timeline_first_legal_date</t>
        </is>
      </c>
      <c r="B27" s="6" t="inlineStr">
        <is>
          <t>2025-06-13</t>
        </is>
      </c>
      <c r="C27" s="6" t="inlineStr">
        <is>
          <t>2026-03-25</t>
        </is>
      </c>
      <c r="D27" s="6" t="inlineStr">
        <is>
          <t>2025-07-21</t>
        </is>
      </c>
      <c r="E27" s="6" t="inlineStr">
        <is>
          <t>2025-03-27</t>
        </is>
      </c>
      <c r="F27" s="6" t="inlineStr">
        <is>
          <t>—</t>
        </is>
      </c>
    </row>
    <row r="28">
      <c r="A28" s="15" t="inlineStr">
        <is>
          <t>timeline_service_date</t>
        </is>
      </c>
      <c r="B28" s="16" t="inlineStr">
        <is>
          <t>2025-07-18</t>
        </is>
      </c>
      <c r="C28" s="16" t="inlineStr">
        <is>
          <t>—</t>
        </is>
      </c>
      <c r="D28" s="16" t="inlineStr">
        <is>
          <t>2025-12-24</t>
        </is>
      </c>
      <c r="E28" s="16" t="inlineStr">
        <is>
          <t>2025-05-03</t>
        </is>
      </c>
      <c r="F28" s="16" t="inlineStr">
        <is>
          <t>—</t>
        </is>
      </c>
    </row>
    <row r="29">
      <c r="A29" s="15" t="inlineStr">
        <is>
          <t>timeline_publication_date</t>
        </is>
      </c>
      <c r="B29" s="6" t="inlineStr">
        <is>
          <t>—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</row>
    <row r="30">
      <c r="A30" s="15" t="inlineStr">
        <is>
          <t>timeline_judgement_hearing_set_date</t>
        </is>
      </c>
      <c r="B30" s="16" t="inlineStr">
        <is>
          <t>2025-12-17</t>
        </is>
      </c>
      <c r="C30" s="16" t="inlineStr">
        <is>
          <t>—</t>
        </is>
      </c>
      <c r="D30" s="16" t="inlineStr">
        <is>
          <t>2026-02-13</t>
        </is>
      </c>
      <c r="E30" s="16" t="inlineStr">
        <is>
          <t>2025-07-15</t>
        </is>
      </c>
      <c r="F30" s="16" t="inlineStr">
        <is>
          <t>—</t>
        </is>
      </c>
    </row>
    <row r="31">
      <c r="A31" s="15" t="inlineStr">
        <is>
          <t>timeline_judgement_date</t>
        </is>
      </c>
      <c r="B31" s="6" t="inlineStr">
        <is>
          <t>2026-03-27</t>
        </is>
      </c>
      <c r="C31" s="6" t="inlineStr">
        <is>
          <t>—</t>
        </is>
      </c>
      <c r="D31" s="6" t="inlineStr">
        <is>
          <t>2026-04-13</t>
        </is>
      </c>
      <c r="E31" s="6" t="inlineStr">
        <is>
          <t>2025-10-15</t>
        </is>
      </c>
      <c r="F31" s="6" t="inlineStr">
        <is>
          <t>—</t>
        </is>
      </c>
    </row>
    <row r="32">
      <c r="A32" s="15" t="inlineStr">
        <is>
          <t>timeline_sale_date_projected_date</t>
        </is>
      </c>
      <c r="B32" s="16" t="inlineStr">
        <is>
          <t>—</t>
        </is>
      </c>
      <c r="C32" s="16" t="inlineStr">
        <is>
          <t>—</t>
        </is>
      </c>
      <c r="D32" s="16" t="inlineStr">
        <is>
          <t>2026-05-19</t>
        </is>
      </c>
      <c r="E32" s="16" t="inlineStr">
        <is>
          <t>—</t>
        </is>
      </c>
      <c r="F32" s="16" t="inlineStr">
        <is>
          <t>—</t>
        </is>
      </c>
    </row>
    <row r="33">
      <c r="A33" s="15" t="inlineStr">
        <is>
          <t>timeline_sale_date_set_date</t>
        </is>
      </c>
      <c r="B33" s="6" t="inlineStr">
        <is>
          <t>—</t>
        </is>
      </c>
      <c r="C33" s="6" t="inlineStr">
        <is>
          <t>—</t>
        </is>
      </c>
      <c r="D33" s="6" t="inlineStr">
        <is>
          <t>2026-02-19</t>
        </is>
      </c>
      <c r="E33" s="6" t="inlineStr">
        <is>
          <t>—</t>
        </is>
      </c>
      <c r="F33" s="6" t="inlineStr">
        <is>
          <t>—</t>
        </is>
      </c>
    </row>
    <row r="34">
      <c r="A34" s="15" t="inlineStr">
        <is>
          <t>timeline_final_title_cleared_date</t>
        </is>
      </c>
      <c r="B34" s="16" t="inlineStr">
        <is>
          <t>—</t>
        </is>
      </c>
      <c r="C34" s="16" t="inlineStr">
        <is>
          <t>—</t>
        </is>
      </c>
      <c r="D34" s="16" t="inlineStr">
        <is>
          <t>—</t>
        </is>
      </c>
      <c r="E34" s="16" t="inlineStr">
        <is>
          <t>—</t>
        </is>
      </c>
      <c r="F34" s="16" t="inlineStr">
        <is>
          <t>—</t>
        </is>
      </c>
    </row>
    <row r="35">
      <c r="A35" s="15" t="inlineStr">
        <is>
          <t>timeline_sale_date_held_date</t>
        </is>
      </c>
      <c r="B35" s="6" t="inlineStr">
        <is>
          <t>2026-05-22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2025-10-14</t>
        </is>
      </c>
      <c r="F35" s="6" t="inlineStr">
        <is>
          <t>—</t>
        </is>
      </c>
    </row>
    <row r="36">
      <c r="A36" s="15" t="inlineStr">
        <is>
          <t>timeline_foreclosure_completed_date</t>
        </is>
      </c>
      <c r="B36" s="16" t="inlineStr">
        <is>
          <t>—</t>
        </is>
      </c>
      <c r="C36" s="16" t="inlineStr">
        <is>
          <t>—</t>
        </is>
      </c>
      <c r="D36" s="16" t="inlineStr">
        <is>
          <t>—</t>
        </is>
      </c>
      <c r="E36" s="16" t="inlineStr">
        <is>
          <t>—</t>
        </is>
      </c>
      <c r="F36" s="16" t="inlineStr">
        <is>
          <t>—</t>
        </is>
      </c>
    </row>
    <row r="37">
      <c r="A37" s="15" t="inlineStr">
        <is>
          <t>timeline_third_party_sold_date_date</t>
        </is>
      </c>
      <c r="B37" s="6" t="inlineStr">
        <is>
          <t>—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</row>
    <row r="38">
      <c r="A38" s="15" t="inlineStr">
        <is>
          <t>timeline_third_party_proceeds_received_date</t>
        </is>
      </c>
      <c r="B38" s="16" t="inlineStr">
        <is>
          <t>—</t>
        </is>
      </c>
      <c r="C38" s="16" t="inlineStr">
        <is>
          <t>—</t>
        </is>
      </c>
      <c r="D38" s="16" t="inlineStr">
        <is>
          <t>—</t>
        </is>
      </c>
      <c r="E38" s="16" t="inlineStr">
        <is>
          <t>—</t>
        </is>
      </c>
      <c r="F38" s="16" t="inlineStr">
        <is>
          <t>—</t>
        </is>
      </c>
    </row>
    <row r="39">
      <c r="A39" s="15" t="inlineStr">
        <is>
          <t>target_notice_of_intent_days</t>
        </is>
      </c>
      <c r="B39" s="6" t="inlineStr">
        <is>
          <t>30</t>
        </is>
      </c>
      <c r="C39" s="6" t="inlineStr">
        <is>
          <t>30</t>
        </is>
      </c>
      <c r="D39" s="6" t="inlineStr">
        <is>
          <t>30</t>
        </is>
      </c>
      <c r="E39" s="6" t="inlineStr">
        <is>
          <t>30</t>
        </is>
      </c>
      <c r="F39" s="6" t="inlineStr">
        <is>
          <t>30</t>
        </is>
      </c>
    </row>
    <row r="40">
      <c r="A40" s="15" t="inlineStr">
        <is>
          <t>target_notice_of_intent_expired_days</t>
        </is>
      </c>
      <c r="B40" s="16" t="inlineStr">
        <is>
          <t>90</t>
        </is>
      </c>
      <c r="C40" s="16" t="inlineStr">
        <is>
          <t>90</t>
        </is>
      </c>
      <c r="D40" s="16" t="inlineStr">
        <is>
          <t>90</t>
        </is>
      </c>
      <c r="E40" s="16" t="inlineStr">
        <is>
          <t>90</t>
        </is>
      </c>
      <c r="F40" s="16" t="inlineStr">
        <is>
          <t>90</t>
        </is>
      </c>
    </row>
    <row r="41">
      <c r="A41" s="15" t="inlineStr">
        <is>
          <t>target_approved_for_referral_days</t>
        </is>
      </c>
      <c r="B41" s="6" t="inlineStr">
        <is>
          <t>30</t>
        </is>
      </c>
      <c r="C41" s="6" t="inlineStr">
        <is>
          <t>30</t>
        </is>
      </c>
      <c r="D41" s="6" t="inlineStr">
        <is>
          <t>30</t>
        </is>
      </c>
      <c r="E41" s="6" t="inlineStr">
        <is>
          <t>30</t>
        </is>
      </c>
      <c r="F41" s="6" t="inlineStr">
        <is>
          <t>30</t>
        </is>
      </c>
    </row>
    <row r="42">
      <c r="A42" s="15" t="inlineStr">
        <is>
          <t>target_referred_to_attorney_days</t>
        </is>
      </c>
      <c r="B42" s="16" t="inlineStr">
        <is>
          <t>1</t>
        </is>
      </c>
      <c r="C42" s="16" t="inlineStr">
        <is>
          <t>1</t>
        </is>
      </c>
      <c r="D42" s="16" t="inlineStr">
        <is>
          <t>1</t>
        </is>
      </c>
      <c r="E42" s="16" t="inlineStr">
        <is>
          <t>1</t>
        </is>
      </c>
      <c r="F42" s="16" t="inlineStr">
        <is>
          <t>1</t>
        </is>
      </c>
    </row>
    <row r="43">
      <c r="A43" s="15" t="inlineStr">
        <is>
          <t>target_referred_to_foreclosure_days</t>
        </is>
      </c>
      <c r="B43" s="6" t="inlineStr">
        <is>
          <t>1</t>
        </is>
      </c>
      <c r="C43" s="6" t="inlineStr">
        <is>
          <t>1</t>
        </is>
      </c>
      <c r="D43" s="6" t="inlineStr">
        <is>
          <t>1</t>
        </is>
      </c>
      <c r="E43" s="6" t="inlineStr">
        <is>
          <t>1</t>
        </is>
      </c>
      <c r="F43" s="6" t="inlineStr">
        <is>
          <t>1</t>
        </is>
      </c>
    </row>
    <row r="44">
      <c r="A44" s="15" t="inlineStr">
        <is>
          <t>target_title_report_received_days</t>
        </is>
      </c>
      <c r="B44" s="16" t="inlineStr">
        <is>
          <t>30</t>
        </is>
      </c>
      <c r="C44" s="16" t="inlineStr">
        <is>
          <t>30</t>
        </is>
      </c>
      <c r="D44" s="16" t="inlineStr">
        <is>
          <t>30</t>
        </is>
      </c>
      <c r="E44" s="16" t="inlineStr">
        <is>
          <t>30</t>
        </is>
      </c>
      <c r="F44" s="16" t="inlineStr">
        <is>
          <t>30</t>
        </is>
      </c>
    </row>
    <row r="45">
      <c r="A45" s="15" t="inlineStr">
        <is>
          <t>target_preliminary_title_cleared_days</t>
        </is>
      </c>
      <c r="B45" s="6" t="inlineStr">
        <is>
          <t>30</t>
        </is>
      </c>
      <c r="C45" s="6" t="inlineStr">
        <is>
          <t>30</t>
        </is>
      </c>
      <c r="D45" s="6" t="inlineStr">
        <is>
          <t>30</t>
        </is>
      </c>
      <c r="E45" s="6" t="inlineStr">
        <is>
          <t>30</t>
        </is>
      </c>
      <c r="F45" s="6" t="inlineStr">
        <is>
          <t>30</t>
        </is>
      </c>
    </row>
    <row r="46">
      <c r="A46" s="15" t="inlineStr">
        <is>
          <t>target_first_legal_days</t>
        </is>
      </c>
      <c r="B46" s="16" t="inlineStr">
        <is>
          <t>120</t>
        </is>
      </c>
      <c r="C46" s="16" t="inlineStr">
        <is>
          <t>120</t>
        </is>
      </c>
      <c r="D46" s="16" t="inlineStr">
        <is>
          <t>120</t>
        </is>
      </c>
      <c r="E46" s="16" t="inlineStr">
        <is>
          <t>120</t>
        </is>
      </c>
      <c r="F46" s="16" t="inlineStr">
        <is>
          <t>120</t>
        </is>
      </c>
    </row>
    <row r="47">
      <c r="A47" s="15" t="inlineStr">
        <is>
          <t>target_service_days</t>
        </is>
      </c>
      <c r="B47" s="6" t="inlineStr">
        <is>
          <t>90</t>
        </is>
      </c>
      <c r="C47" s="6" t="inlineStr">
        <is>
          <t>90</t>
        </is>
      </c>
      <c r="D47" s="6" t="inlineStr">
        <is>
          <t>90</t>
        </is>
      </c>
      <c r="E47" s="6" t="inlineStr">
        <is>
          <t>90</t>
        </is>
      </c>
      <c r="F47" s="6" t="inlineStr">
        <is>
          <t>90</t>
        </is>
      </c>
    </row>
    <row r="48">
      <c r="A48" s="15" t="inlineStr">
        <is>
          <t>target_publication_days</t>
        </is>
      </c>
      <c r="B48" s="16" t="inlineStr">
        <is>
          <t>30</t>
        </is>
      </c>
      <c r="C48" s="16" t="inlineStr">
        <is>
          <t>30</t>
        </is>
      </c>
      <c r="D48" s="16" t="inlineStr">
        <is>
          <t>30</t>
        </is>
      </c>
      <c r="E48" s="16" t="inlineStr">
        <is>
          <t>30</t>
        </is>
      </c>
      <c r="F48" s="16" t="inlineStr">
        <is>
          <t>30</t>
        </is>
      </c>
    </row>
    <row r="49">
      <c r="A49" s="15" t="inlineStr">
        <is>
          <t>target_judgement_hearing_set_days</t>
        </is>
      </c>
      <c r="B49" s="6" t="inlineStr">
        <is>
          <t>120</t>
        </is>
      </c>
      <c r="C49" s="6" t="inlineStr">
        <is>
          <t>120</t>
        </is>
      </c>
      <c r="D49" s="6" t="inlineStr">
        <is>
          <t>120</t>
        </is>
      </c>
      <c r="E49" s="6" t="inlineStr">
        <is>
          <t>120</t>
        </is>
      </c>
      <c r="F49" s="6" t="inlineStr">
        <is>
          <t>120</t>
        </is>
      </c>
    </row>
    <row r="50">
      <c r="A50" s="15" t="inlineStr">
        <is>
          <t>target_judgement_days</t>
        </is>
      </c>
      <c r="B50" s="16" t="inlineStr">
        <is>
          <t>30</t>
        </is>
      </c>
      <c r="C50" s="16" t="inlineStr">
        <is>
          <t>30</t>
        </is>
      </c>
      <c r="D50" s="16" t="inlineStr">
        <is>
          <t>30</t>
        </is>
      </c>
      <c r="E50" s="16" t="inlineStr">
        <is>
          <t>30</t>
        </is>
      </c>
      <c r="F50" s="16" t="inlineStr">
        <is>
          <t>30</t>
        </is>
      </c>
    </row>
    <row r="51">
      <c r="A51" s="15" t="inlineStr">
        <is>
          <t>target_sale_date_set_days</t>
        </is>
      </c>
      <c r="B51" s="6" t="inlineStr">
        <is>
          <t>30</t>
        </is>
      </c>
      <c r="C51" s="6" t="inlineStr">
        <is>
          <t>30</t>
        </is>
      </c>
      <c r="D51" s="6" t="inlineStr">
        <is>
          <t>30</t>
        </is>
      </c>
      <c r="E51" s="6" t="inlineStr">
        <is>
          <t>30</t>
        </is>
      </c>
      <c r="F51" s="6" t="inlineStr">
        <is>
          <t>30</t>
        </is>
      </c>
    </row>
    <row r="52">
      <c r="A52" s="15" t="inlineStr">
        <is>
          <t>target_final_title_cleared_days</t>
        </is>
      </c>
      <c r="B52" s="16" t="inlineStr">
        <is>
          <t>5</t>
        </is>
      </c>
      <c r="C52" s="16" t="inlineStr">
        <is>
          <t>5</t>
        </is>
      </c>
      <c r="D52" s="16" t="inlineStr">
        <is>
          <t>5</t>
        </is>
      </c>
      <c r="E52" s="16" t="inlineStr">
        <is>
          <t>5</t>
        </is>
      </c>
      <c r="F52" s="16" t="inlineStr">
        <is>
          <t>5</t>
        </is>
      </c>
    </row>
    <row r="53">
      <c r="A53" s="15" t="inlineStr">
        <is>
          <t>target_sale_date_held_days</t>
        </is>
      </c>
      <c r="B53" s="6" t="inlineStr">
        <is>
          <t>0</t>
        </is>
      </c>
      <c r="C53" s="6" t="inlineStr">
        <is>
          <t>0</t>
        </is>
      </c>
      <c r="D53" s="6" t="inlineStr">
        <is>
          <t>0</t>
        </is>
      </c>
      <c r="E53" s="6" t="inlineStr">
        <is>
          <t>0</t>
        </is>
      </c>
      <c r="F53" s="6" t="inlineStr">
        <is>
          <t>0</t>
        </is>
      </c>
    </row>
    <row r="54">
      <c r="A54" s="15" t="inlineStr">
        <is>
          <t>actual_notice_of_intent_days</t>
        </is>
      </c>
      <c r="B54" s="16" t="inlineStr">
        <is>
          <t>—</t>
        </is>
      </c>
      <c r="C54" s="16" t="inlineStr">
        <is>
          <t>—</t>
        </is>
      </c>
      <c r="D54" s="16" t="inlineStr">
        <is>
          <t>—</t>
        </is>
      </c>
      <c r="E54" s="16" t="inlineStr">
        <is>
          <t>—</t>
        </is>
      </c>
      <c r="F54" s="16" t="inlineStr">
        <is>
          <t>—</t>
        </is>
      </c>
    </row>
    <row r="55">
      <c r="A55" s="15" t="inlineStr">
        <is>
          <t>actual_notice_of_intent_expire_days</t>
        </is>
      </c>
      <c r="B55" s="6" t="inlineStr">
        <is>
          <t>—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</row>
    <row r="56">
      <c r="A56" s="15" t="inlineStr">
        <is>
          <t>actual_approved_for_referral_days</t>
        </is>
      </c>
      <c r="B56" s="16" t="inlineStr">
        <is>
          <t>—</t>
        </is>
      </c>
      <c r="C56" s="16" t="inlineStr">
        <is>
          <t>—</t>
        </is>
      </c>
      <c r="D56" s="16" t="inlineStr">
        <is>
          <t>—</t>
        </is>
      </c>
      <c r="E56" s="16" t="inlineStr">
        <is>
          <t>—</t>
        </is>
      </c>
      <c r="F56" s="16" t="inlineStr">
        <is>
          <t>—</t>
        </is>
      </c>
    </row>
    <row r="57">
      <c r="A57" s="15" t="inlineStr">
        <is>
          <t>actual_referred_to_attorney_days</t>
        </is>
      </c>
      <c r="B57" s="6" t="inlineStr">
        <is>
          <t>—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</row>
    <row r="58">
      <c r="A58" s="15" t="inlineStr">
        <is>
          <t>actual_referred_to_foreclosure_days</t>
        </is>
      </c>
      <c r="B58" s="16" t="inlineStr">
        <is>
          <t>142</t>
        </is>
      </c>
      <c r="C58" s="16" t="inlineStr">
        <is>
          <t>36</t>
        </is>
      </c>
      <c r="D58" s="16" t="inlineStr">
        <is>
          <t>208</t>
        </is>
      </c>
      <c r="E58" s="16" t="inlineStr">
        <is>
          <t>339</t>
        </is>
      </c>
      <c r="F58" s="16" t="inlineStr">
        <is>
          <t>—</t>
        </is>
      </c>
    </row>
    <row r="59">
      <c r="A59" s="15" t="inlineStr">
        <is>
          <t>actual_title_report_received_days</t>
        </is>
      </c>
      <c r="B59" s="6" t="inlineStr">
        <is>
          <t>—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641</t>
        </is>
      </c>
      <c r="F59" s="6" t="inlineStr">
        <is>
          <t>—</t>
        </is>
      </c>
    </row>
    <row r="60">
      <c r="A60" s="15" t="inlineStr">
        <is>
          <t>actual_preliminary_title_cleared_days</t>
        </is>
      </c>
      <c r="B60" s="16" t="inlineStr">
        <is>
          <t>—</t>
        </is>
      </c>
      <c r="C60" s="16" t="inlineStr">
        <is>
          <t>—</t>
        </is>
      </c>
      <c r="D60" s="16" t="inlineStr">
        <is>
          <t>—</t>
        </is>
      </c>
      <c r="E60" s="16" t="inlineStr">
        <is>
          <t>—</t>
        </is>
      </c>
      <c r="F60" s="16" t="inlineStr">
        <is>
          <t>—</t>
        </is>
      </c>
    </row>
    <row r="61">
      <c r="A61" s="15" t="inlineStr">
        <is>
          <t>actual_first_legal_days</t>
        </is>
      </c>
      <c r="B61" s="6" t="inlineStr">
        <is>
          <t>163</t>
        </is>
      </c>
      <c r="C61" s="6" t="inlineStr">
        <is>
          <t>52</t>
        </is>
      </c>
      <c r="D61" s="6" t="inlineStr">
        <is>
          <t>232</t>
        </is>
      </c>
      <c r="E61" s="6" t="inlineStr">
        <is>
          <t>391</t>
        </is>
      </c>
      <c r="F61" s="6" t="inlineStr">
        <is>
          <t>—</t>
        </is>
      </c>
    </row>
    <row r="62">
      <c r="A62" s="15" t="inlineStr">
        <is>
          <t>actual_service_days</t>
        </is>
      </c>
      <c r="B62" s="16" t="inlineStr">
        <is>
          <t>198</t>
        </is>
      </c>
      <c r="C62" s="16" t="inlineStr">
        <is>
          <t>—</t>
        </is>
      </c>
      <c r="D62" s="16" t="inlineStr">
        <is>
          <t>388</t>
        </is>
      </c>
      <c r="E62" s="16" t="inlineStr">
        <is>
          <t>428</t>
        </is>
      </c>
      <c r="F62" s="16" t="inlineStr">
        <is>
          <t>—</t>
        </is>
      </c>
    </row>
    <row r="63">
      <c r="A63" s="15" t="inlineStr">
        <is>
          <t>actual_publication_days</t>
        </is>
      </c>
      <c r="B63" s="6" t="inlineStr">
        <is>
          <t>—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</row>
    <row r="64">
      <c r="A64" s="15" t="inlineStr">
        <is>
          <t>actual_judgement_hearing_set_days</t>
        </is>
      </c>
      <c r="B64" s="16" t="inlineStr">
        <is>
          <t>350</t>
        </is>
      </c>
      <c r="C64" s="16" t="inlineStr">
        <is>
          <t>—</t>
        </is>
      </c>
      <c r="D64" s="16" t="inlineStr">
        <is>
          <t>439</t>
        </is>
      </c>
      <c r="E64" s="16" t="inlineStr">
        <is>
          <t>501</t>
        </is>
      </c>
      <c r="F64" s="16" t="inlineStr">
        <is>
          <t>—</t>
        </is>
      </c>
    </row>
    <row r="65">
      <c r="A65" s="15" t="inlineStr">
        <is>
          <t>actual_judgement_days</t>
        </is>
      </c>
      <c r="B65" s="6" t="inlineStr">
        <is>
          <t>450</t>
        </is>
      </c>
      <c r="C65" s="6" t="inlineStr">
        <is>
          <t>—</t>
        </is>
      </c>
      <c r="D65" s="6" t="inlineStr">
        <is>
          <t>498</t>
        </is>
      </c>
      <c r="E65" s="6" t="inlineStr">
        <is>
          <t>593</t>
        </is>
      </c>
      <c r="F65" s="6" t="inlineStr">
        <is>
          <t>—</t>
        </is>
      </c>
    </row>
    <row r="66">
      <c r="A66" s="15" t="inlineStr">
        <is>
          <t>actual_sale_date_set_days</t>
        </is>
      </c>
      <c r="B66" s="16" t="inlineStr">
        <is>
          <t>—</t>
        </is>
      </c>
      <c r="C66" s="16" t="inlineStr">
        <is>
          <t>—</t>
        </is>
      </c>
      <c r="D66" s="16" t="inlineStr">
        <is>
          <t>445</t>
        </is>
      </c>
      <c r="E66" s="16" t="inlineStr">
        <is>
          <t>—</t>
        </is>
      </c>
      <c r="F66" s="16" t="inlineStr">
        <is>
          <t>—</t>
        </is>
      </c>
    </row>
    <row r="67">
      <c r="A67" s="15" t="inlineStr">
        <is>
          <t>actual_final_title_cleared_days</t>
        </is>
      </c>
      <c r="B67" s="6" t="inlineStr">
        <is>
          <t>—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</row>
    <row r="68">
      <c r="A68" s="15" t="inlineStr">
        <is>
          <t>actual_sale_date_held_days</t>
        </is>
      </c>
      <c r="B68" s="16" t="inlineStr">
        <is>
          <t>506</t>
        </is>
      </c>
      <c r="C68" s="16" t="inlineStr">
        <is>
          <t>—</t>
        </is>
      </c>
      <c r="D68" s="16" t="inlineStr">
        <is>
          <t>—</t>
        </is>
      </c>
      <c r="E68" s="16" t="inlineStr">
        <is>
          <t>592</t>
        </is>
      </c>
      <c r="F68" s="16" t="inlineStr">
        <is>
          <t>—</t>
        </is>
      </c>
    </row>
    <row r="69">
      <c r="A69" s="15" t="inlineStr">
        <is>
          <t>variance_active_bankruptcy</t>
        </is>
      </c>
      <c r="B69" s="6" t="inlineStr">
        <is>
          <t>—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</row>
    <row r="70">
      <c r="A70" s="15" t="inlineStr">
        <is>
          <t>variance_completed_bankruptcy</t>
        </is>
      </c>
      <c r="B70" s="16" t="inlineStr">
        <is>
          <t>—</t>
        </is>
      </c>
      <c r="C70" s="16" t="inlineStr">
        <is>
          <t>—</t>
        </is>
      </c>
      <c r="D70" s="16" t="inlineStr">
        <is>
          <t>—</t>
        </is>
      </c>
      <c r="E70" s="16" t="inlineStr">
        <is>
          <t>—</t>
        </is>
      </c>
      <c r="F70" s="16" t="inlineStr">
        <is>
          <t>—</t>
        </is>
      </c>
    </row>
    <row r="71">
      <c r="A71" s="15" t="inlineStr">
        <is>
          <t>variance_estimated_hold_days</t>
        </is>
      </c>
      <c r="B71" s="6" t="inlineStr">
        <is>
          <t>—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</row>
    <row r="72">
      <c r="A72" s="15" t="inlineStr">
        <is>
          <t>variance_bankruptcies</t>
        </is>
      </c>
      <c r="B72" s="16" t="inlineStr">
        <is>
          <t>—</t>
        </is>
      </c>
      <c r="C72" s="16" t="inlineStr">
        <is>
          <t>—</t>
        </is>
      </c>
      <c r="D72" s="16" t="inlineStr">
        <is>
          <t>—</t>
        </is>
      </c>
      <c r="E72" s="16" t="inlineStr">
        <is>
          <t>—</t>
        </is>
      </c>
      <c r="F72" s="16" t="inlineStr">
        <is>
          <t>—</t>
        </is>
      </c>
    </row>
    <row r="73">
      <c r="A73" s="15" t="inlineStr">
        <is>
          <t>bid_approval_status</t>
        </is>
      </c>
      <c r="B73" s="6" t="inlineStr">
        <is>
          <t>—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</row>
    <row r="74">
      <c r="A74" s="15" t="inlineStr">
        <is>
          <t>bid_approval_sale_date</t>
        </is>
      </c>
      <c r="B74" s="16" t="inlineStr">
        <is>
          <t>—</t>
        </is>
      </c>
      <c r="C74" s="16" t="inlineStr">
        <is>
          <t>—</t>
        </is>
      </c>
      <c r="D74" s="16" t="inlineStr">
        <is>
          <t>—</t>
        </is>
      </c>
      <c r="E74" s="16" t="inlineStr">
        <is>
          <t>—</t>
        </is>
      </c>
      <c r="F74" s="16" t="inlineStr">
        <is>
          <t>—</t>
        </is>
      </c>
    </row>
    <row r="75">
      <c r="A75" s="15" t="inlineStr">
        <is>
          <t>bid_approval_bid_amount</t>
        </is>
      </c>
      <c r="B75" s="6" t="inlineStr">
        <is>
          <t>301500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390832.5</t>
        </is>
      </c>
      <c r="F75" s="6" t="inlineStr">
        <is>
          <t>—</t>
        </is>
      </c>
    </row>
    <row r="76">
      <c r="A76" s="15" t="inlineStr">
        <is>
          <t>bid_approval_loan_resolution_holods</t>
        </is>
      </c>
      <c r="B76" s="16" t="inlineStr">
        <is>
          <t>—</t>
        </is>
      </c>
      <c r="C76" s="16" t="inlineStr">
        <is>
          <t>—</t>
        </is>
      </c>
      <c r="D76" s="16" t="inlineStr">
        <is>
          <t>—</t>
        </is>
      </c>
      <c r="E76" s="16" t="inlineStr">
        <is>
          <t>—</t>
        </is>
      </c>
      <c r="F76" s="16" t="inlineStr">
        <is>
          <t>—</t>
        </is>
      </c>
    </row>
    <row r="77">
      <c r="A77" s="15" t="inlineStr">
        <is>
          <t>summary_servicer_number</t>
        </is>
      </c>
      <c r="B77" s="6" t="inlineStr">
        <is>
          <t>—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</row>
    <row r="78">
      <c r="A78" s="15" t="inlineStr">
        <is>
          <t>summary_foreclosure_status</t>
        </is>
      </c>
      <c r="B78" s="16" t="inlineStr">
        <is>
          <t>Closed Foreclosure:Process Complete</t>
        </is>
      </c>
      <c r="C78" s="16" t="inlineStr">
        <is>
          <t>Closed Foreclosure:Loss Mitigation</t>
        </is>
      </c>
      <c r="D78" s="16" t="inlineStr">
        <is>
          <t>Closed Foreclosure:Paid in Full</t>
        </is>
      </c>
      <c r="E78" s="16" t="inlineStr">
        <is>
          <t>Closed Foreclosure:Process Complete</t>
        </is>
      </c>
      <c r="F78" s="16" t="inlineStr">
        <is>
          <t>—</t>
        </is>
      </c>
    </row>
    <row r="79">
      <c r="A79" s="15" t="inlineStr">
        <is>
          <t>summary_completed_foreclosure</t>
        </is>
      </c>
      <c r="B79" s="6" t="inlineStr">
        <is>
          <t>—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</row>
    <row r="80">
      <c r="A80" s="15" t="inlineStr">
        <is>
          <t>summary_foreclosure_bid_amount</t>
        </is>
      </c>
      <c r="B80" s="16" t="inlineStr">
        <is>
          <t>301500</t>
        </is>
      </c>
      <c r="C80" s="16" t="inlineStr">
        <is>
          <t>—</t>
        </is>
      </c>
      <c r="D80" s="16" t="inlineStr">
        <is>
          <t>—</t>
        </is>
      </c>
      <c r="E80" s="16" t="inlineStr">
        <is>
          <t>390832.5</t>
        </is>
      </c>
      <c r="F80" s="16" t="inlineStr">
        <is>
          <t>—</t>
        </is>
      </c>
    </row>
    <row r="81">
      <c r="A81" s="15" t="inlineStr">
        <is>
          <t>summary_srv_fc_bid_amount</t>
        </is>
      </c>
      <c r="B81" s="6" t="inlineStr">
        <is>
          <t>301500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390832.5</t>
        </is>
      </c>
      <c r="F81" s="6" t="inlineStr">
        <is>
          <t>—</t>
        </is>
      </c>
    </row>
    <row r="82">
      <c r="A82" s="15" t="inlineStr">
        <is>
          <t>summary_foreclosure_sale_amount</t>
        </is>
      </c>
      <c r="B82" s="16" t="inlineStr">
        <is>
          <t>200100</t>
        </is>
      </c>
      <c r="C82" s="16" t="inlineStr">
        <is>
          <t>—</t>
        </is>
      </c>
      <c r="D82" s="16" t="inlineStr">
        <is>
          <t>—</t>
        </is>
      </c>
      <c r="E82" s="16" t="inlineStr">
        <is>
          <t>357200</t>
        </is>
      </c>
      <c r="F82" s="16" t="inlineStr">
        <is>
          <t>—</t>
        </is>
      </c>
    </row>
    <row r="83">
      <c r="A83" s="15" t="inlineStr">
        <is>
          <t>summary_judicial_foreclosure</t>
        </is>
      </c>
      <c r="B83" s="6" t="inlineStr">
        <is>
          <t>1</t>
        </is>
      </c>
      <c r="C83" s="6" t="inlineStr">
        <is>
          <t>0</t>
        </is>
      </c>
      <c r="D83" s="6" t="inlineStr">
        <is>
          <t>1</t>
        </is>
      </c>
      <c r="E83" s="6" t="inlineStr">
        <is>
          <t>1</t>
        </is>
      </c>
      <c r="F83" s="6" t="inlineStr">
        <is>
          <t>—</t>
        </is>
      </c>
    </row>
    <row r="84">
      <c r="A84" s="15" t="inlineStr">
        <is>
          <t>summary_foreclosure_attorney</t>
        </is>
      </c>
      <c r="B84" s="16" t="inlineStr">
        <is>
          <t>—</t>
        </is>
      </c>
      <c r="C84" s="16" t="inlineStr">
        <is>
          <t>—</t>
        </is>
      </c>
      <c r="D84" s="16" t="inlineStr">
        <is>
          <t>—</t>
        </is>
      </c>
      <c r="E84" s="16" t="inlineStr">
        <is>
          <t>—</t>
        </is>
      </c>
      <c r="F84" s="16" t="inlineStr">
        <is>
          <t>—</t>
        </is>
      </c>
    </row>
    <row r="85">
      <c r="A85" s="15" t="inlineStr">
        <is>
          <t>summary_contested_litigation</t>
        </is>
      </c>
      <c r="B85" s="6" t="inlineStr">
        <is>
          <t>0</t>
        </is>
      </c>
      <c r="C85" s="6" t="inlineStr">
        <is>
          <t>0</t>
        </is>
      </c>
      <c r="D85" s="6" t="inlineStr">
        <is>
          <t>0</t>
        </is>
      </c>
      <c r="E85" s="6" t="inlineStr">
        <is>
          <t>0</t>
        </is>
      </c>
      <c r="F85" s="6" t="inlineStr">
        <is>
          <t>—</t>
        </is>
      </c>
    </row>
    <row r="86">
      <c r="A86" s="15" t="inlineStr">
        <is>
          <t>summary_firm</t>
        </is>
      </c>
      <c r="B86" s="16" t="inlineStr">
        <is>
          <t>Kelley Kronenberg, P.A.</t>
        </is>
      </c>
      <c r="C86" s="16" t="inlineStr">
        <is>
          <t>Orlans Law Group PLLC</t>
        </is>
      </c>
      <c r="D86" s="16" t="inlineStr">
        <is>
          <t>Johnson, Blumberg &amp; Associates, LLC</t>
        </is>
      </c>
      <c r="E86" s="16" t="inlineStr">
        <is>
          <t>RAS (Primary)</t>
        </is>
      </c>
      <c r="F86" s="16" t="inlineStr">
        <is>
          <t>—</t>
        </is>
      </c>
    </row>
    <row r="87">
      <c r="A87" s="15" t="inlineStr">
        <is>
          <t>summary_type</t>
        </is>
      </c>
      <c r="B87" s="6" t="inlineStr">
        <is>
          <t>Judicial</t>
        </is>
      </c>
      <c r="C87" s="6" t="inlineStr">
        <is>
          <t>Non Judicial</t>
        </is>
      </c>
      <c r="D87" s="6" t="inlineStr">
        <is>
          <t>Judicial</t>
        </is>
      </c>
      <c r="E87" s="6" t="inlineStr">
        <is>
          <t>Judicial</t>
        </is>
      </c>
      <c r="F87" s="6" t="inlineStr">
        <is>
          <t>—</t>
        </is>
      </c>
    </row>
    <row r="88">
      <c r="A88" s="15" t="inlineStr">
        <is>
          <t>summary_sms_days_in_fcl</t>
        </is>
      </c>
      <c r="B88" s="16" t="inlineStr">
        <is>
          <t>370</t>
        </is>
      </c>
      <c r="C88" s="16" t="inlineStr">
        <is>
          <t>81</t>
        </is>
      </c>
      <c r="D88" s="16" t="inlineStr">
        <is>
          <t>296</t>
        </is>
      </c>
      <c r="E88" s="16" t="inlineStr">
        <is>
          <t>256</t>
        </is>
      </c>
      <c r="F88" s="16" t="inlineStr">
        <is>
          <t>—</t>
        </is>
      </c>
    </row>
    <row r="89">
      <c r="A89" s="15" t="inlineStr">
        <is>
          <t>summary_days_in_fcl</t>
        </is>
      </c>
      <c r="B89" s="6" t="inlineStr">
        <is>
          <t>370</t>
        </is>
      </c>
      <c r="C89" s="6" t="inlineStr">
        <is>
          <t>81</t>
        </is>
      </c>
      <c r="D89" s="6" t="inlineStr">
        <is>
          <t>296</t>
        </is>
      </c>
      <c r="E89" s="6" t="inlineStr">
        <is>
          <t>256</t>
        </is>
      </c>
      <c r="F89" s="6" t="inlineStr">
        <is>
          <t>—</t>
        </is>
      </c>
    </row>
    <row r="90">
      <c r="A90" s="15" t="inlineStr">
        <is>
          <t>summary_current_step</t>
        </is>
      </c>
      <c r="B90" s="16" t="inlineStr">
        <is>
          <t>Post Sale Review (SCRA and PACER Check)</t>
        </is>
      </c>
      <c r="C90" s="16" t="inlineStr">
        <is>
          <t>Pre-Sale Review 1 (SCRA and PACER Check)</t>
        </is>
      </c>
      <c r="D90" s="16" t="inlineStr">
        <is>
          <t>Pre-Sale Review 1 (SCRA and PACER Check)</t>
        </is>
      </c>
      <c r="E90" s="16" t="inlineStr">
        <is>
          <t>Post Sale Review (SCRA and PACER Check)</t>
        </is>
      </c>
      <c r="F90" s="16" t="inlineStr">
        <is>
          <t>—</t>
        </is>
      </c>
    </row>
    <row r="91">
      <c r="A91" s="15" t="inlineStr">
        <is>
          <t>summary_last_step_completed</t>
        </is>
      </c>
      <c r="B91" s="6" t="inlineStr">
        <is>
          <t>Post Sale Review (SCRA and PACER Check)</t>
        </is>
      </c>
      <c r="C91" s="6" t="inlineStr">
        <is>
          <t>First Publication</t>
        </is>
      </c>
      <c r="D91" s="6" t="inlineStr">
        <is>
          <t>Sale Scheduled For</t>
        </is>
      </c>
      <c r="E91" s="6" t="inlineStr">
        <is>
          <t>Post Sale Review (SCRA and PACER Check)</t>
        </is>
      </c>
      <c r="F91" s="6" t="inlineStr">
        <is>
          <t>—</t>
        </is>
      </c>
    </row>
    <row r="92">
      <c r="A92" s="15" t="inlineStr">
        <is>
          <t>summary_last_step_completed_date</t>
        </is>
      </c>
      <c r="B92" s="16" t="inlineStr">
        <is>
          <t>2026-05-26</t>
        </is>
      </c>
      <c r="C92" s="16" t="inlineStr">
        <is>
          <t>2026-03-25</t>
        </is>
      </c>
      <c r="D92" s="16" t="inlineStr">
        <is>
          <t>2026-05-19</t>
        </is>
      </c>
      <c r="E92" s="16" t="inlineStr">
        <is>
          <t>2025-10-15</t>
        </is>
      </c>
      <c r="F92" s="16" t="inlineStr">
        <is>
          <t>—</t>
        </is>
      </c>
    </row>
    <row r="93">
      <c r="A93" s="15" t="inlineStr">
        <is>
          <t>create_user</t>
        </is>
      </c>
      <c r="B93" s="6" t="inlineStr">
        <is>
          <t>—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</row>
    <row r="94">
      <c r="A94" s="15" t="inlineStr">
        <is>
          <t>create_dept</t>
        </is>
      </c>
      <c r="B94" s="16" t="inlineStr">
        <is>
          <t>—</t>
        </is>
      </c>
      <c r="C94" s="16" t="inlineStr">
        <is>
          <t>—</t>
        </is>
      </c>
      <c r="D94" s="16" t="inlineStr">
        <is>
          <t>—</t>
        </is>
      </c>
      <c r="E94" s="16" t="inlineStr">
        <is>
          <t>—</t>
        </is>
      </c>
      <c r="F94" s="16" t="inlineStr">
        <is>
          <t>—</t>
        </is>
      </c>
    </row>
    <row r="95">
      <c r="A95" s="15" t="inlineStr">
        <is>
          <t>create_time</t>
        </is>
      </c>
      <c r="B95" s="6" t="inlineStr">
        <is>
          <t>—</t>
        </is>
      </c>
      <c r="C95" s="6" t="inlineStr">
        <is>
          <t>—</t>
        </is>
      </c>
      <c r="D95" s="6" t="inlineStr">
        <is>
          <t>—</t>
        </is>
      </c>
      <c r="E95" s="6" t="inlineStr">
        <is>
          <t>—</t>
        </is>
      </c>
      <c r="F95" s="6" t="inlineStr">
        <is>
          <t>—</t>
        </is>
      </c>
    </row>
    <row r="96">
      <c r="A96" s="15" t="inlineStr">
        <is>
          <t>update_user</t>
        </is>
      </c>
      <c r="B96" s="16" t="inlineStr">
        <is>
          <t>—</t>
        </is>
      </c>
      <c r="C96" s="16" t="inlineStr">
        <is>
          <t>—</t>
        </is>
      </c>
      <c r="D96" s="16" t="inlineStr">
        <is>
          <t>—</t>
        </is>
      </c>
      <c r="E96" s="16" t="inlineStr">
        <is>
          <t>—</t>
        </is>
      </c>
      <c r="F96" s="16" t="inlineStr">
        <is>
          <t>—</t>
        </is>
      </c>
    </row>
    <row r="97">
      <c r="A97" s="15" t="inlineStr">
        <is>
          <t>update_time</t>
        </is>
      </c>
      <c r="B97" s="6" t="inlineStr">
        <is>
          <t>—</t>
        </is>
      </c>
      <c r="C97" s="6" t="inlineStr">
        <is>
          <t>—</t>
        </is>
      </c>
      <c r="D97" s="6" t="inlineStr">
        <is>
          <t>—</t>
        </is>
      </c>
      <c r="E97" s="6" t="inlineStr">
        <is>
          <t>—</t>
        </is>
      </c>
      <c r="F97" s="6" t="inlineStr">
        <is>
          <t>—</t>
        </is>
      </c>
    </row>
    <row r="98">
      <c r="A98" s="15" t="inlineStr">
        <is>
          <t>status</t>
        </is>
      </c>
      <c r="B98" s="16" t="inlineStr">
        <is>
          <t>0</t>
        </is>
      </c>
      <c r="C98" s="16" t="inlineStr">
        <is>
          <t>0</t>
        </is>
      </c>
      <c r="D98" s="16" t="inlineStr">
        <is>
          <t>0</t>
        </is>
      </c>
      <c r="E98" s="16" t="inlineStr">
        <is>
          <t>0</t>
        </is>
      </c>
      <c r="F98" s="16" t="inlineStr">
        <is>
          <t>—</t>
        </is>
      </c>
    </row>
    <row r="99">
      <c r="A99" s="15" t="inlineStr">
        <is>
          <t>is_deleted</t>
        </is>
      </c>
      <c r="B99" s="6" t="inlineStr">
        <is>
          <t>0</t>
        </is>
      </c>
      <c r="C99" s="6" t="inlineStr">
        <is>
          <t>0</t>
        </is>
      </c>
      <c r="D99" s="6" t="inlineStr">
        <is>
          <t>0</t>
        </is>
      </c>
      <c r="E99" s="6" t="inlineStr">
        <is>
          <t>0</t>
        </is>
      </c>
      <c r="F99" s="6" t="inlineStr">
        <is>
          <t>0</t>
        </is>
      </c>
    </row>
    <row r="100">
      <c r="A100" s="15" t="inlineStr">
        <is>
          <t>tenant_id</t>
        </is>
      </c>
      <c r="B100" s="16" t="inlineStr">
        <is>
          <t>000000</t>
        </is>
      </c>
      <c r="C100" s="16" t="inlineStr">
        <is>
          <t>000000</t>
        </is>
      </c>
      <c r="D100" s="16" t="inlineStr">
        <is>
          <t>000000</t>
        </is>
      </c>
      <c r="E100" s="16" t="inlineStr">
        <is>
          <t>000000</t>
        </is>
      </c>
      <c r="F100" s="16" t="inlineStr">
        <is>
          <t>—</t>
        </is>
      </c>
    </row>
    <row r="101">
      <c r="A101" s="15" t="inlineStr">
        <is>
          <t>var_notice_of_intent_days</t>
        </is>
      </c>
      <c r="B101" s="6" t="inlineStr">
        <is>
          <t>—</t>
        </is>
      </c>
      <c r="C101" s="6" t="inlineStr">
        <is>
          <t>—</t>
        </is>
      </c>
      <c r="D101" s="6" t="inlineStr">
        <is>
          <t>—</t>
        </is>
      </c>
      <c r="E101" s="6" t="inlineStr">
        <is>
          <t>—</t>
        </is>
      </c>
      <c r="F101" s="6" t="inlineStr">
        <is>
          <t>—</t>
        </is>
      </c>
    </row>
    <row r="102">
      <c r="A102" s="15" t="inlineStr">
        <is>
          <t>var_notice_of_intent_expire_days</t>
        </is>
      </c>
      <c r="B102" s="16" t="inlineStr">
        <is>
          <t>—</t>
        </is>
      </c>
      <c r="C102" s="16" t="inlineStr">
        <is>
          <t>—</t>
        </is>
      </c>
      <c r="D102" s="16" t="inlineStr">
        <is>
          <t>—</t>
        </is>
      </c>
      <c r="E102" s="16" t="inlineStr">
        <is>
          <t>—</t>
        </is>
      </c>
      <c r="F102" s="16" t="inlineStr">
        <is>
          <t>—</t>
        </is>
      </c>
    </row>
    <row r="103">
      <c r="A103" s="15" t="inlineStr">
        <is>
          <t>var_approved_for_referral_days</t>
        </is>
      </c>
      <c r="B103" s="6" t="inlineStr">
        <is>
          <t>—</t>
        </is>
      </c>
      <c r="C103" s="6" t="inlineStr">
        <is>
          <t>—</t>
        </is>
      </c>
      <c r="D103" s="6" t="inlineStr">
        <is>
          <t>—</t>
        </is>
      </c>
      <c r="E103" s="6" t="inlineStr">
        <is>
          <t>—</t>
        </is>
      </c>
      <c r="F103" s="6" t="inlineStr">
        <is>
          <t>—</t>
        </is>
      </c>
    </row>
    <row r="104">
      <c r="A104" s="15" t="inlineStr">
        <is>
          <t>var_referred_to_attorney_days</t>
        </is>
      </c>
      <c r="B104" s="16" t="inlineStr">
        <is>
          <t>—</t>
        </is>
      </c>
      <c r="C104" s="16" t="inlineStr">
        <is>
          <t>—</t>
        </is>
      </c>
      <c r="D104" s="16" t="inlineStr">
        <is>
          <t>—</t>
        </is>
      </c>
      <c r="E104" s="16" t="inlineStr">
        <is>
          <t>—</t>
        </is>
      </c>
      <c r="F104" s="16" t="inlineStr">
        <is>
          <t>—</t>
        </is>
      </c>
    </row>
    <row r="105">
      <c r="A105" s="15" t="inlineStr">
        <is>
          <t>var_referred_to_foreclosure_days</t>
        </is>
      </c>
      <c r="B105" s="6" t="inlineStr">
        <is>
          <t>-10</t>
        </is>
      </c>
      <c r="C105" s="6" t="inlineStr">
        <is>
          <t>-116</t>
        </is>
      </c>
      <c r="D105" s="6" t="inlineStr">
        <is>
          <t>56</t>
        </is>
      </c>
      <c r="E105" s="6" t="inlineStr">
        <is>
          <t>187</t>
        </is>
      </c>
      <c r="F105" s="6" t="inlineStr">
        <is>
          <t>—</t>
        </is>
      </c>
    </row>
    <row r="106">
      <c r="A106" s="15" t="inlineStr">
        <is>
          <t>var_title_report_received_days</t>
        </is>
      </c>
      <c r="B106" s="16" t="inlineStr">
        <is>
          <t>—</t>
        </is>
      </c>
      <c r="C106" s="16" t="inlineStr">
        <is>
          <t>—</t>
        </is>
      </c>
      <c r="D106" s="16" t="inlineStr">
        <is>
          <t>—</t>
        </is>
      </c>
      <c r="E106" s="16" t="inlineStr">
        <is>
          <t>459</t>
        </is>
      </c>
      <c r="F106" s="16" t="inlineStr">
        <is>
          <t>—</t>
        </is>
      </c>
    </row>
    <row r="107">
      <c r="A107" s="15" t="inlineStr">
        <is>
          <t>var_preliminary_title_cleared_days</t>
        </is>
      </c>
      <c r="B107" s="6" t="inlineStr">
        <is>
          <t>—</t>
        </is>
      </c>
      <c r="C107" s="6" t="inlineStr">
        <is>
          <t>—</t>
        </is>
      </c>
      <c r="D107" s="6" t="inlineStr">
        <is>
          <t>—</t>
        </is>
      </c>
      <c r="E107" s="6" t="inlineStr">
        <is>
          <t>—</t>
        </is>
      </c>
      <c r="F107" s="6" t="inlineStr">
        <is>
          <t>—</t>
        </is>
      </c>
    </row>
    <row r="108">
      <c r="A108" s="15" t="inlineStr">
        <is>
          <t>var_first_legal_days</t>
        </is>
      </c>
      <c r="B108" s="16" t="inlineStr">
        <is>
          <t>-169</t>
        </is>
      </c>
      <c r="C108" s="16" t="inlineStr">
        <is>
          <t>-280</t>
        </is>
      </c>
      <c r="D108" s="16" t="inlineStr">
        <is>
          <t>-100</t>
        </is>
      </c>
      <c r="E108" s="16" t="inlineStr">
        <is>
          <t>59</t>
        </is>
      </c>
      <c r="F108" s="16" t="inlineStr">
        <is>
          <t>—</t>
        </is>
      </c>
    </row>
    <row r="109">
      <c r="A109" s="15" t="inlineStr">
        <is>
          <t>var_service_days</t>
        </is>
      </c>
      <c r="B109" s="6" t="inlineStr">
        <is>
          <t>-224</t>
        </is>
      </c>
      <c r="C109" s="6" t="inlineStr">
        <is>
          <t>—</t>
        </is>
      </c>
      <c r="D109" s="6" t="inlineStr">
        <is>
          <t>-34</t>
        </is>
      </c>
      <c r="E109" s="6" t="inlineStr">
        <is>
          <t>6</t>
        </is>
      </c>
      <c r="F109" s="6" t="inlineStr">
        <is>
          <t>—</t>
        </is>
      </c>
    </row>
    <row r="110">
      <c r="A110" s="15" t="inlineStr">
        <is>
          <t>var_publication_days</t>
        </is>
      </c>
      <c r="B110" s="16" t="inlineStr">
        <is>
          <t>—</t>
        </is>
      </c>
      <c r="C110" s="16" t="inlineStr">
        <is>
          <t>—</t>
        </is>
      </c>
      <c r="D110" s="16" t="inlineStr">
        <is>
          <t>—</t>
        </is>
      </c>
      <c r="E110" s="16" t="inlineStr">
        <is>
          <t>—</t>
        </is>
      </c>
      <c r="F110" s="16" t="inlineStr">
        <is>
          <t>—</t>
        </is>
      </c>
    </row>
    <row r="111">
      <c r="A111" s="15" t="inlineStr">
        <is>
          <t>var_judgement_hearing_set_days</t>
        </is>
      </c>
      <c r="B111" s="6" t="inlineStr">
        <is>
          <t>-222</t>
        </is>
      </c>
      <c r="C111" s="6" t="inlineStr">
        <is>
          <t>—</t>
        </is>
      </c>
      <c r="D111" s="6" t="inlineStr">
        <is>
          <t>-133</t>
        </is>
      </c>
      <c r="E111" s="6" t="inlineStr">
        <is>
          <t>-71</t>
        </is>
      </c>
      <c r="F111" s="6" t="inlineStr">
        <is>
          <t>—</t>
        </is>
      </c>
    </row>
    <row r="112">
      <c r="A112" s="15" t="inlineStr">
        <is>
          <t>var_judgement_days</t>
        </is>
      </c>
      <c r="B112" s="16" t="inlineStr">
        <is>
          <t>-152</t>
        </is>
      </c>
      <c r="C112" s="16" t="inlineStr">
        <is>
          <t>—</t>
        </is>
      </c>
      <c r="D112" s="16" t="inlineStr">
        <is>
          <t>-104</t>
        </is>
      </c>
      <c r="E112" s="16" t="inlineStr">
        <is>
          <t>-9</t>
        </is>
      </c>
      <c r="F112" s="16" t="inlineStr">
        <is>
          <t>—</t>
        </is>
      </c>
    </row>
    <row r="113">
      <c r="A113" s="15" t="inlineStr">
        <is>
          <t>var_sale_date_set_days</t>
        </is>
      </c>
      <c r="B113" s="6" t="inlineStr">
        <is>
          <t>—</t>
        </is>
      </c>
      <c r="C113" s="6" t="inlineStr">
        <is>
          <t>—</t>
        </is>
      </c>
      <c r="D113" s="6" t="inlineStr">
        <is>
          <t>-187</t>
        </is>
      </c>
      <c r="E113" s="6" t="inlineStr">
        <is>
          <t>—</t>
        </is>
      </c>
      <c r="F113" s="6" t="inlineStr">
        <is>
          <t>—</t>
        </is>
      </c>
    </row>
    <row r="114">
      <c r="A114" s="15" t="inlineStr">
        <is>
          <t>var_final_title_cleared_days</t>
        </is>
      </c>
      <c r="B114" s="16" t="inlineStr">
        <is>
          <t>—</t>
        </is>
      </c>
      <c r="C114" s="16" t="inlineStr">
        <is>
          <t>—</t>
        </is>
      </c>
      <c r="D114" s="16" t="inlineStr">
        <is>
          <t>—</t>
        </is>
      </c>
      <c r="E114" s="16" t="inlineStr">
        <is>
          <t>—</t>
        </is>
      </c>
      <c r="F114" s="16" t="inlineStr">
        <is>
          <t>—</t>
        </is>
      </c>
    </row>
    <row r="115">
      <c r="A115" s="15" t="inlineStr">
        <is>
          <t>var_sale_date_held_days</t>
        </is>
      </c>
      <c r="B115" s="6" t="inlineStr">
        <is>
          <t>-131</t>
        </is>
      </c>
      <c r="C115" s="6" t="inlineStr">
        <is>
          <t>—</t>
        </is>
      </c>
      <c r="D115" s="6" t="inlineStr">
        <is>
          <t>—</t>
        </is>
      </c>
      <c r="E115" s="6" t="inlineStr">
        <is>
          <t>-45</t>
        </is>
      </c>
      <c r="F115" s="6" t="inlineStr">
        <is>
          <t>—</t>
        </is>
      </c>
    </row>
    <row r="116">
      <c r="A116" s="15" t="inlineStr">
        <is>
          <t>var_total</t>
        </is>
      </c>
      <c r="B116" s="16" t="inlineStr">
        <is>
          <t>—</t>
        </is>
      </c>
      <c r="C116" s="16" t="inlineStr">
        <is>
          <t>—</t>
        </is>
      </c>
      <c r="D116" s="16" t="inlineStr">
        <is>
          <t>—</t>
        </is>
      </c>
      <c r="E116" s="16" t="inlineStr">
        <is>
          <t>—</t>
        </is>
      </c>
      <c r="F116" s="16" t="inlineStr">
        <is>
          <t>—</t>
        </is>
      </c>
    </row>
    <row r="117">
      <c r="A117" s="15" t="inlineStr">
        <is>
          <t>target_total</t>
        </is>
      </c>
      <c r="B117" s="6" t="inlineStr">
        <is>
          <t>637</t>
        </is>
      </c>
      <c r="C117" s="6" t="inlineStr">
        <is>
          <t>637</t>
        </is>
      </c>
      <c r="D117" s="6" t="inlineStr">
        <is>
          <t>637</t>
        </is>
      </c>
      <c r="E117" s="6" t="inlineStr">
        <is>
          <t>637</t>
        </is>
      </c>
      <c r="F117" s="6" t="inlineStr">
        <is>
          <t>637</t>
        </is>
      </c>
    </row>
    <row r="118">
      <c r="A118" s="15" t="inlineStr">
        <is>
          <t>actual_total</t>
        </is>
      </c>
      <c r="B118" s="16" t="inlineStr">
        <is>
          <t>—</t>
        </is>
      </c>
      <c r="C118" s="16" t="inlineStr">
        <is>
          <t>—</t>
        </is>
      </c>
      <c r="D118" s="16" t="inlineStr">
        <is>
          <t>—</t>
        </is>
      </c>
      <c r="E118" s="16" t="inlineStr">
        <is>
          <t>—</t>
        </is>
      </c>
      <c r="F118" s="16" t="inlineStr">
        <is>
          <t>—</t>
        </is>
      </c>
    </row>
  </sheetData>
  <mergeCells count="13">
    <mergeCell ref="A2:F2"/>
    <mergeCell ref="A11:F11"/>
    <mergeCell ref="A10:F10"/>
    <mergeCell ref="A13:F13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 ht="20" customHeight="1">
      <c r="A1" s="9" t="inlineStr">
        <is>
          <t>bpms.sync_loan_foreclosure_hold — Hold 全历史（每次变更一行）</t>
        </is>
      </c>
    </row>
    <row r="2">
      <c r="A2" s="13" t="inlineStr">
        <is>
          <t>全 15 字段 · 多行/贷款（全历史） · 共 21 行 · 各贷款行数：{'7727000065': 4, '7727000088': 9, '7727000672': 2, '7727004200': 6} · prod 实测 2026-06-04</t>
        </is>
      </c>
    </row>
    <row r="3" ht="56" customHeight="1">
      <c r="A3" s="14" t="inlineStr">
        <is>
          <t>查询 SQL（prod 只读）：
-- bpms.sync_loan_foreclosure_hold · mysql_prod(只读) · 多行/贷款（全历史） · 业务日 2026-06-01
SELECT * FROM bpms.sync_loan_foreclosure_hold WHERE loanid IN (7727000088,7727000672,7727004200,7727000065,7727000010) ORDER BY loanid, description_start_date;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30" customHeight="1">
      <c r="A5" s="36" t="inlineStr">
        <is>
          <t>业务含义/目的：BPS Hold 全历史(每次变更一行)。 BPS Hold 面板。</t>
        </is>
      </c>
    </row>
    <row r="6" ht="18" customHeight="1">
      <c r="A6" s="36" t="inlineStr">
        <is>
          <t>何时来查：查 BPS 上某贷款全部 Hold 落库记录。</t>
        </is>
      </c>
    </row>
    <row r="7" ht="18" customHeight="1">
      <c r="A7" s="36" t="inlineStr">
        <is>
          <t>为什么这样处理：见 ⑫；L4 拆槽后同步覆盖更新。</t>
        </is>
      </c>
    </row>
    <row r="8" ht="18" customHeight="1">
      <c r="A8" s="36" t="inlineStr">
        <is>
          <t>数据粒度：1 行/Hold 段。</t>
        </is>
      </c>
    </row>
    <row r="9" ht="45" customHeight="1">
      <c r="A9" s="36" t="inlineStr">
        <is>
          <t>上游链路：port.basic_data_loan_foreclosure_hold → bpms.sync_loan_foreclosure_hold〔asset_managment_config.py:847-894〕</t>
        </is>
      </c>
    </row>
    <row r="10" ht="30" customHeight="1">
      <c r="A10" s="36" t="inlineStr">
        <is>
          <t>全部上游表：port.basic_data_loan_foreclosure_hold</t>
        </is>
      </c>
    </row>
    <row r="11" ht="30" customHeight="1">
      <c r="A11" s="36" t="inlineStr">
        <is>
          <t>下游链路：→ bpms.biz_data_view_loan_details_foreclosure(视图) → BPS Hold 面板</t>
        </is>
      </c>
    </row>
    <row r="12" ht="30" customHeight="1">
      <c r="A12" s="36" t="inlineStr">
        <is>
          <t>全部下游表：bpms.biz_data_view_loan_details_foreclosure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10" t="inlineStr">
        <is>
          <t>id</t>
        </is>
      </c>
      <c r="B14" s="10" t="inlineStr">
        <is>
          <t>loanid</t>
        </is>
      </c>
      <c r="C14" s="10" t="inlineStr">
        <is>
          <t>svcloanid</t>
        </is>
      </c>
      <c r="D14" s="10" t="inlineStr">
        <is>
          <t>fctrdt</t>
        </is>
      </c>
      <c r="E14" s="10" t="inlineStr">
        <is>
          <t>description</t>
        </is>
      </c>
      <c r="F14" s="10" t="inlineStr">
        <is>
          <t>description_start_date</t>
        </is>
      </c>
      <c r="G14" s="10" t="inlineStr">
        <is>
          <t>description_end_date</t>
        </is>
      </c>
      <c r="H14" s="10" t="inlineStr">
        <is>
          <t>create_user</t>
        </is>
      </c>
      <c r="I14" s="10" t="inlineStr">
        <is>
          <t>create_dept</t>
        </is>
      </c>
      <c r="J14" s="10" t="inlineStr">
        <is>
          <t>create_time</t>
        </is>
      </c>
      <c r="K14" s="10" t="inlineStr">
        <is>
          <t>update_user</t>
        </is>
      </c>
      <c r="L14" s="10" t="inlineStr">
        <is>
          <t>update_time</t>
        </is>
      </c>
      <c r="M14" s="10" t="inlineStr">
        <is>
          <t>status</t>
        </is>
      </c>
      <c r="N14" s="10" t="inlineStr">
        <is>
          <t>is_deleted</t>
        </is>
      </c>
      <c r="O14" s="10" t="inlineStr">
        <is>
          <t>tenant_id</t>
        </is>
      </c>
    </row>
    <row r="15">
      <c r="A15" s="6" t="inlineStr">
        <is>
          <t>100379</t>
        </is>
      </c>
      <c r="B15" s="6" t="inlineStr">
        <is>
          <t>7727000065</t>
        </is>
      </c>
      <c r="C15" s="6" t="inlineStr">
        <is>
          <t>1031718621</t>
        </is>
      </c>
      <c r="D15" s="6" t="inlineStr">
        <is>
          <t>2025-05-05</t>
        </is>
      </c>
      <c r="E15" s="6" t="inlineStr">
        <is>
          <t>Original Note</t>
        </is>
      </c>
      <c r="F15" s="6" t="inlineStr">
        <is>
          <t>2025-02-06</t>
        </is>
      </c>
      <c r="G15" s="6" t="inlineStr">
        <is>
          <t>2025-03-10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0</t>
        </is>
      </c>
      <c r="N15" s="6" t="inlineStr">
        <is>
          <t>0</t>
        </is>
      </c>
      <c r="O15" s="6" t="inlineStr">
        <is>
          <t>000000</t>
        </is>
      </c>
    </row>
    <row r="16">
      <c r="A16" s="16" t="inlineStr">
        <is>
          <t>100320</t>
        </is>
      </c>
      <c r="B16" s="16" t="inlineStr">
        <is>
          <t>7727000065</t>
        </is>
      </c>
      <c r="C16" s="16" t="inlineStr">
        <is>
          <t>1031718621</t>
        </is>
      </c>
      <c r="D16" s="16" t="inlineStr">
        <is>
          <t>2025-07-02</t>
        </is>
      </c>
      <c r="E16" s="16" t="inlineStr">
        <is>
          <t>Bankruptcy Filed</t>
        </is>
      </c>
      <c r="F16" s="16" t="inlineStr">
        <is>
          <t>2025-05-06</t>
        </is>
      </c>
      <c r="G16" s="16" t="inlineStr">
        <is>
          <t>2025-06-27</t>
        </is>
      </c>
      <c r="H16" s="16" t="inlineStr">
        <is>
          <t>—</t>
        </is>
      </c>
      <c r="I16" s="16" t="inlineStr">
        <is>
          <t>—</t>
        </is>
      </c>
      <c r="J16" s="16" t="inlineStr">
        <is>
          <t>—</t>
        </is>
      </c>
      <c r="K16" s="16" t="inlineStr">
        <is>
          <t>—</t>
        </is>
      </c>
      <c r="L16" s="16" t="inlineStr">
        <is>
          <t>—</t>
        </is>
      </c>
      <c r="M16" s="16" t="inlineStr">
        <is>
          <t>0</t>
        </is>
      </c>
      <c r="N16" s="16" t="inlineStr">
        <is>
          <t>0</t>
        </is>
      </c>
      <c r="O16" s="16" t="inlineStr">
        <is>
          <t>000000</t>
        </is>
      </c>
    </row>
    <row r="17">
      <c r="A17" s="6" t="inlineStr">
        <is>
          <t>100311</t>
        </is>
      </c>
      <c r="B17" s="6" t="inlineStr">
        <is>
          <t>7727000065</t>
        </is>
      </c>
      <c r="C17" s="6" t="inlineStr">
        <is>
          <t>1031718621</t>
        </is>
      </c>
      <c r="D17" s="6" t="inlineStr">
        <is>
          <t>2025-08-26</t>
        </is>
      </c>
      <c r="E17" s="6" t="inlineStr">
        <is>
          <t>Court Delay</t>
        </is>
      </c>
      <c r="F17" s="6" t="inlineStr">
        <is>
          <t>2025-07-02</t>
        </is>
      </c>
      <c r="G17" s="6" t="inlineStr">
        <is>
          <t>2025-07-14</t>
        </is>
      </c>
      <c r="H17" s="6" t="inlineStr">
        <is>
          <t>—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0</t>
        </is>
      </c>
      <c r="N17" s="6" t="inlineStr">
        <is>
          <t>0</t>
        </is>
      </c>
      <c r="O17" s="6" t="inlineStr">
        <is>
          <t>000000</t>
        </is>
      </c>
    </row>
    <row r="18">
      <c r="A18" s="16" t="inlineStr">
        <is>
          <t>100290</t>
        </is>
      </c>
      <c r="B18" s="16" t="inlineStr">
        <is>
          <t>7727000065</t>
        </is>
      </c>
      <c r="C18" s="16" t="inlineStr">
        <is>
          <t>1031718621</t>
        </is>
      </c>
      <c r="D18" s="16" t="inlineStr">
        <is>
          <t>2026-06-04</t>
        </is>
      </c>
      <c r="E18" s="16" t="inlineStr">
        <is>
          <t>Court Delay</t>
        </is>
      </c>
      <c r="F18" s="16" t="inlineStr">
        <is>
          <t>2025-08-26</t>
        </is>
      </c>
      <c r="G18" s="16" t="inlineStr">
        <is>
          <t>2025-08-28</t>
        </is>
      </c>
      <c r="H18" s="16" t="inlineStr">
        <is>
          <t>—</t>
        </is>
      </c>
      <c r="I18" s="16" t="inlineStr">
        <is>
          <t>—</t>
        </is>
      </c>
      <c r="J18" s="16" t="inlineStr">
        <is>
          <t>—</t>
        </is>
      </c>
      <c r="K18" s="16" t="inlineStr">
        <is>
          <t>—</t>
        </is>
      </c>
      <c r="L18" s="16" t="inlineStr">
        <is>
          <t>—</t>
        </is>
      </c>
      <c r="M18" s="16" t="inlineStr">
        <is>
          <t>0</t>
        </is>
      </c>
      <c r="N18" s="16" t="inlineStr">
        <is>
          <t>0</t>
        </is>
      </c>
      <c r="O18" s="16" t="inlineStr">
        <is>
          <t>000000</t>
        </is>
      </c>
    </row>
    <row r="19">
      <c r="A19" s="6" t="inlineStr">
        <is>
          <t>100325</t>
        </is>
      </c>
      <c r="B19" s="6" t="inlineStr">
        <is>
          <t>7727000088</t>
        </is>
      </c>
      <c r="C19" s="6" t="inlineStr">
        <is>
          <t>1031718838</t>
        </is>
      </c>
      <c r="D19" s="6" t="inlineStr">
        <is>
          <t>2025-07-15</t>
        </is>
      </c>
      <c r="E19" s="6" t="inlineStr">
        <is>
          <t>Original Note</t>
        </is>
      </c>
      <c r="F19" s="6" t="inlineStr">
        <is>
          <t>2025-05-28</t>
        </is>
      </c>
      <c r="G19" s="6" t="inlineStr">
        <is>
          <t>2025-06-11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0</t>
        </is>
      </c>
      <c r="N19" s="6" t="inlineStr">
        <is>
          <t>0</t>
        </is>
      </c>
      <c r="O19" s="6" t="inlineStr">
        <is>
          <t>000000</t>
        </is>
      </c>
    </row>
    <row r="20">
      <c r="A20" s="16" t="inlineStr">
        <is>
          <t>100306</t>
        </is>
      </c>
      <c r="B20" s="16" t="inlineStr">
        <is>
          <t>7727000088</t>
        </is>
      </c>
      <c r="C20" s="16" t="inlineStr">
        <is>
          <t>1031718838</t>
        </is>
      </c>
      <c r="D20" s="16" t="inlineStr">
        <is>
          <t>2025-07-30</t>
        </is>
      </c>
      <c r="E20" s="16" t="inlineStr">
        <is>
          <t>Service Delay</t>
        </is>
      </c>
      <c r="F20" s="16" t="inlineStr">
        <is>
          <t>2025-07-15</t>
        </is>
      </c>
      <c r="G20" s="16" t="inlineStr">
        <is>
          <t>2025-07-31</t>
        </is>
      </c>
      <c r="H20" s="16" t="inlineStr">
        <is>
          <t>—</t>
        </is>
      </c>
      <c r="I20" s="16" t="inlineStr">
        <is>
          <t>—</t>
        </is>
      </c>
      <c r="J20" s="16" t="inlineStr">
        <is>
          <t>—</t>
        </is>
      </c>
      <c r="K20" s="16" t="inlineStr">
        <is>
          <t>—</t>
        </is>
      </c>
      <c r="L20" s="16" t="inlineStr">
        <is>
          <t>—</t>
        </is>
      </c>
      <c r="M20" s="16" t="inlineStr">
        <is>
          <t>0</t>
        </is>
      </c>
      <c r="N20" s="16" t="inlineStr">
        <is>
          <t>0</t>
        </is>
      </c>
      <c r="O20" s="16" t="inlineStr">
        <is>
          <t>000000</t>
        </is>
      </c>
    </row>
    <row r="21">
      <c r="A21" s="6" t="inlineStr">
        <is>
          <t>100305</t>
        </is>
      </c>
      <c r="B21" s="6" t="inlineStr">
        <is>
          <t>7727000088</t>
        </is>
      </c>
      <c r="C21" s="6" t="inlineStr">
        <is>
          <t>1031718838</t>
        </is>
      </c>
      <c r="D21" s="6" t="inlineStr">
        <is>
          <t>2025-08-12</t>
        </is>
      </c>
      <c r="E21" s="6" t="inlineStr">
        <is>
          <t>Loss Mitigation Workout</t>
        </is>
      </c>
      <c r="F21" s="6" t="inlineStr">
        <is>
          <t>2025-07-31</t>
        </is>
      </c>
      <c r="G21" s="6" t="inlineStr">
        <is>
          <t>2025-08-01</t>
        </is>
      </c>
      <c r="H21" s="6" t="inlineStr">
        <is>
          <t>—</t>
        </is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0</t>
        </is>
      </c>
      <c r="N21" s="6" t="inlineStr">
        <is>
          <t>0</t>
        </is>
      </c>
      <c r="O21" s="6" t="inlineStr">
        <is>
          <t>000000</t>
        </is>
      </c>
    </row>
    <row r="22">
      <c r="A22" s="16" t="inlineStr">
        <is>
          <t>100256</t>
        </is>
      </c>
      <c r="B22" s="16" t="inlineStr">
        <is>
          <t>7727000088</t>
        </is>
      </c>
      <c r="C22" s="16" t="inlineStr">
        <is>
          <t>1031718838</t>
        </is>
      </c>
      <c r="D22" s="16" t="inlineStr">
        <is>
          <t>2025-10-21</t>
        </is>
      </c>
      <c r="E22" s="16" t="inlineStr">
        <is>
          <t>Loss Mitigation Workout</t>
        </is>
      </c>
      <c r="F22" s="16" t="inlineStr">
        <is>
          <t>2025-08-13</t>
        </is>
      </c>
      <c r="G22" s="16" t="inlineStr">
        <is>
          <t>2025-10-21</t>
        </is>
      </c>
      <c r="H22" s="16" t="inlineStr">
        <is>
          <t>—</t>
        </is>
      </c>
      <c r="I22" s="16" t="inlineStr">
        <is>
          <t>—</t>
        </is>
      </c>
      <c r="J22" s="16" t="inlineStr">
        <is>
          <t>—</t>
        </is>
      </c>
      <c r="K22" s="16" t="inlineStr">
        <is>
          <t>—</t>
        </is>
      </c>
      <c r="L22" s="16" t="inlineStr">
        <is>
          <t>—</t>
        </is>
      </c>
      <c r="M22" s="16" t="inlineStr">
        <is>
          <t>0</t>
        </is>
      </c>
      <c r="N22" s="16" t="inlineStr">
        <is>
          <t>0</t>
        </is>
      </c>
      <c r="O22" s="16" t="inlineStr">
        <is>
          <t>000000</t>
        </is>
      </c>
    </row>
    <row r="23">
      <c r="A23" s="6" t="inlineStr">
        <is>
          <t>100226</t>
        </is>
      </c>
      <c r="B23" s="6" t="inlineStr">
        <is>
          <t>7727000088</t>
        </is>
      </c>
      <c r="C23" s="6" t="inlineStr">
        <is>
          <t>1031718838</t>
        </is>
      </c>
      <c r="D23" s="6" t="inlineStr">
        <is>
          <t>2026-01-18</t>
        </is>
      </c>
      <c r="E23" s="6" t="inlineStr">
        <is>
          <t>Court Delay</t>
        </is>
      </c>
      <c r="F23" s="6" t="inlineStr">
        <is>
          <t>2025-10-21</t>
        </is>
      </c>
      <c r="G23" s="6" t="inlineStr">
        <is>
          <t>2025-12-16</t>
        </is>
      </c>
      <c r="H23" s="6" t="inlineStr">
        <is>
          <t>—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0</t>
        </is>
      </c>
      <c r="N23" s="6" t="inlineStr">
        <is>
          <t>0</t>
        </is>
      </c>
      <c r="O23" s="6" t="inlineStr">
        <is>
          <t>000000</t>
        </is>
      </c>
    </row>
    <row r="24">
      <c r="A24" s="16" t="inlineStr">
        <is>
          <t>100169</t>
        </is>
      </c>
      <c r="B24" s="16" t="inlineStr">
        <is>
          <t>7727000088</t>
        </is>
      </c>
      <c r="C24" s="16" t="inlineStr">
        <is>
          <t>1031718838</t>
        </is>
      </c>
      <c r="D24" s="16" t="inlineStr">
        <is>
          <t>2026-02-23</t>
        </is>
      </c>
      <c r="E24" s="16" t="inlineStr">
        <is>
          <t>Court Delay</t>
        </is>
      </c>
      <c r="F24" s="16" t="inlineStr">
        <is>
          <t>2026-01-16</t>
        </is>
      </c>
      <c r="G24" s="16" t="inlineStr">
        <is>
          <t>2026-03-16</t>
        </is>
      </c>
      <c r="H24" s="16" t="inlineStr">
        <is>
          <t>—</t>
        </is>
      </c>
      <c r="I24" s="16" t="inlineStr">
        <is>
          <t>—</t>
        </is>
      </c>
      <c r="J24" s="16" t="inlineStr">
        <is>
          <t>—</t>
        </is>
      </c>
      <c r="K24" s="16" t="inlineStr">
        <is>
          <t>—</t>
        </is>
      </c>
      <c r="L24" s="16" t="inlineStr">
        <is>
          <t>—</t>
        </is>
      </c>
      <c r="M24" s="16" t="inlineStr">
        <is>
          <t>0</t>
        </is>
      </c>
      <c r="N24" s="16" t="inlineStr">
        <is>
          <t>0</t>
        </is>
      </c>
      <c r="O24" s="16" t="inlineStr">
        <is>
          <t>000000</t>
        </is>
      </c>
    </row>
    <row r="25">
      <c r="A25" s="6" t="inlineStr">
        <is>
          <t>100176</t>
        </is>
      </c>
      <c r="B25" s="6" t="inlineStr">
        <is>
          <t>7727000088</t>
        </is>
      </c>
      <c r="C25" s="6" t="inlineStr">
        <is>
          <t>1031718838</t>
        </is>
      </c>
      <c r="D25" s="6" t="inlineStr">
        <is>
          <t>2026-02-23</t>
        </is>
      </c>
      <c r="E25" s="6" t="inlineStr">
        <is>
          <t>Loss Mitigation Workout</t>
        </is>
      </c>
      <c r="F25" s="6" t="inlineStr">
        <is>
          <t>2026-02-20</t>
        </is>
      </c>
      <c r="G25" s="6" t="inlineStr">
        <is>
          <t>2026-02-24</t>
        </is>
      </c>
      <c r="H25" s="6" t="inlineStr">
        <is>
          <t>—</t>
        </is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0</t>
        </is>
      </c>
      <c r="N25" s="6" t="inlineStr">
        <is>
          <t>0</t>
        </is>
      </c>
      <c r="O25" s="6" t="inlineStr">
        <is>
          <t>000000</t>
        </is>
      </c>
    </row>
    <row r="26">
      <c r="A26" s="16" t="inlineStr">
        <is>
          <t>100149</t>
        </is>
      </c>
      <c r="B26" s="16" t="inlineStr">
        <is>
          <t>7727000088</t>
        </is>
      </c>
      <c r="C26" s="16" t="inlineStr">
        <is>
          <t>1031718838</t>
        </is>
      </c>
      <c r="D26" s="16" t="inlineStr">
        <is>
          <t>2026-04-09</t>
        </is>
      </c>
      <c r="E26" s="16" t="inlineStr">
        <is>
          <t>Hearing Set</t>
        </is>
      </c>
      <c r="F26" s="16" t="inlineStr">
        <is>
          <t>2026-03-16</t>
        </is>
      </c>
      <c r="G26" s="16" t="inlineStr">
        <is>
          <t>2026-04-07</t>
        </is>
      </c>
      <c r="H26" s="16" t="inlineStr">
        <is>
          <t>—</t>
        </is>
      </c>
      <c r="I26" s="16" t="inlineStr">
        <is>
          <t>—</t>
        </is>
      </c>
      <c r="J26" s="16" t="inlineStr">
        <is>
          <t>—</t>
        </is>
      </c>
      <c r="K26" s="16" t="inlineStr">
        <is>
          <t>—</t>
        </is>
      </c>
      <c r="L26" s="16" t="inlineStr">
        <is>
          <t>—</t>
        </is>
      </c>
      <c r="M26" s="16" t="inlineStr">
        <is>
          <t>0</t>
        </is>
      </c>
      <c r="N26" s="16" t="inlineStr">
        <is>
          <t>0</t>
        </is>
      </c>
      <c r="O26" s="16" t="inlineStr">
        <is>
          <t>000000</t>
        </is>
      </c>
    </row>
    <row r="27">
      <c r="A27" s="6" t="inlineStr">
        <is>
          <t>100140</t>
        </is>
      </c>
      <c r="B27" s="6" t="inlineStr">
        <is>
          <t>7727000088</t>
        </is>
      </c>
      <c r="C27" s="6" t="inlineStr">
        <is>
          <t>1031718838</t>
        </is>
      </c>
      <c r="D27" s="6" t="inlineStr">
        <is>
          <t>2026-06-04</t>
        </is>
      </c>
      <c r="E27" s="6" t="inlineStr">
        <is>
          <t>Court Delay</t>
        </is>
      </c>
      <c r="F27" s="6" t="inlineStr">
        <is>
          <t>2026-04-09</t>
        </is>
      </c>
      <c r="G27" s="6" t="inlineStr">
        <is>
          <t>2026-04-26</t>
        </is>
      </c>
      <c r="H27" s="6" t="inlineStr">
        <is>
          <t>—</t>
        </is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0</t>
        </is>
      </c>
      <c r="N27" s="6" t="inlineStr">
        <is>
          <t>0</t>
        </is>
      </c>
      <c r="O27" s="6" t="inlineStr">
        <is>
          <t>000000</t>
        </is>
      </c>
    </row>
    <row r="28">
      <c r="A28" s="16" t="inlineStr">
        <is>
          <t>100122</t>
        </is>
      </c>
      <c r="B28" s="16" t="inlineStr">
        <is>
          <t>7727000672</t>
        </is>
      </c>
      <c r="C28" s="16" t="inlineStr">
        <is>
          <t>1032761570</t>
        </is>
      </c>
      <c r="D28" s="16" t="inlineStr">
        <is>
          <t>2026-05-11</t>
        </is>
      </c>
      <c r="E28" s="16" t="inlineStr">
        <is>
          <t>Loss Mitigation Workout</t>
        </is>
      </c>
      <c r="F28" s="16" t="inlineStr">
        <is>
          <t>2026-03-25</t>
        </is>
      </c>
      <c r="G28" s="16" t="inlineStr">
        <is>
          <t>2026-05-27</t>
        </is>
      </c>
      <c r="H28" s="16" t="inlineStr">
        <is>
          <t>—</t>
        </is>
      </c>
      <c r="I28" s="16" t="inlineStr">
        <is>
          <t>—</t>
        </is>
      </c>
      <c r="J28" s="16" t="inlineStr">
        <is>
          <t>—</t>
        </is>
      </c>
      <c r="K28" s="16" t="inlineStr">
        <is>
          <t>—</t>
        </is>
      </c>
      <c r="L28" s="16" t="inlineStr">
        <is>
          <t>—</t>
        </is>
      </c>
      <c r="M28" s="16" t="inlineStr">
        <is>
          <t>0</t>
        </is>
      </c>
      <c r="N28" s="16" t="inlineStr">
        <is>
          <t>0</t>
        </is>
      </c>
      <c r="O28" s="16" t="inlineStr">
        <is>
          <t>000000</t>
        </is>
      </c>
    </row>
    <row r="29">
      <c r="A29" s="6" t="inlineStr">
        <is>
          <t>100121</t>
        </is>
      </c>
      <c r="B29" s="6" t="inlineStr">
        <is>
          <t>7727000672</t>
        </is>
      </c>
      <c r="C29" s="6" t="inlineStr">
        <is>
          <t>1032761570</t>
        </is>
      </c>
      <c r="D29" s="6" t="inlineStr">
        <is>
          <t>2026-06-04</t>
        </is>
      </c>
      <c r="E29" s="6" t="inlineStr">
        <is>
          <t>Delinquency Review</t>
        </is>
      </c>
      <c r="F29" s="6" t="inlineStr">
        <is>
          <t>2026-05-12</t>
        </is>
      </c>
      <c r="G29" s="6" t="inlineStr">
        <is>
          <t>2026-05-27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0</t>
        </is>
      </c>
      <c r="N29" s="6" t="inlineStr">
        <is>
          <t>0</t>
        </is>
      </c>
      <c r="O29" s="6" t="inlineStr">
        <is>
          <t>000000</t>
        </is>
      </c>
    </row>
    <row r="30">
      <c r="A30" s="16" t="inlineStr">
        <is>
          <t>100315</t>
        </is>
      </c>
      <c r="B30" s="16" t="inlineStr">
        <is>
          <t>7727004200</t>
        </is>
      </c>
      <c r="C30" s="16" t="inlineStr">
        <is>
          <t>0688132141</t>
        </is>
      </c>
      <c r="D30" s="16" t="inlineStr">
        <is>
          <t>2025-09-03</t>
        </is>
      </c>
      <c r="E30" s="16" t="inlineStr">
        <is>
          <t>Client Document Execution</t>
        </is>
      </c>
      <c r="F30" s="16" t="inlineStr">
        <is>
          <t>2025-07-08</t>
        </is>
      </c>
      <c r="G30" s="16" t="inlineStr">
        <is>
          <t>2025-07-09</t>
        </is>
      </c>
      <c r="H30" s="16" t="inlineStr">
        <is>
          <t>—</t>
        </is>
      </c>
      <c r="I30" s="16" t="inlineStr">
        <is>
          <t>—</t>
        </is>
      </c>
      <c r="J30" s="16" t="inlineStr">
        <is>
          <t>—</t>
        </is>
      </c>
      <c r="K30" s="16" t="inlineStr">
        <is>
          <t>—</t>
        </is>
      </c>
      <c r="L30" s="16" t="inlineStr">
        <is>
          <t>—</t>
        </is>
      </c>
      <c r="M30" s="16" t="inlineStr">
        <is>
          <t>0</t>
        </is>
      </c>
      <c r="N30" s="16" t="inlineStr">
        <is>
          <t>0</t>
        </is>
      </c>
      <c r="O30" s="16" t="inlineStr">
        <is>
          <t>000000</t>
        </is>
      </c>
    </row>
    <row r="31">
      <c r="A31" s="6" t="inlineStr">
        <is>
          <t>100239</t>
        </is>
      </c>
      <c r="B31" s="6" t="inlineStr">
        <is>
          <t>7727004200</t>
        </is>
      </c>
      <c r="C31" s="6" t="inlineStr">
        <is>
          <t>0688132141</t>
        </is>
      </c>
      <c r="D31" s="6" t="inlineStr">
        <is>
          <t>2025-11-20</t>
        </is>
      </c>
      <c r="E31" s="6" t="inlineStr">
        <is>
          <t>Court Delay</t>
        </is>
      </c>
      <c r="F31" s="6" t="inlineStr">
        <is>
          <t>2025-09-03</t>
        </is>
      </c>
      <c r="G31" s="6" t="inlineStr">
        <is>
          <t>2025-11-20</t>
        </is>
      </c>
      <c r="H31" s="6" t="inlineStr">
        <is>
          <t>—</t>
        </is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0</t>
        </is>
      </c>
      <c r="N31" s="6" t="inlineStr">
        <is>
          <t>0</t>
        </is>
      </c>
      <c r="O31" s="6" t="inlineStr">
        <is>
          <t>000000</t>
        </is>
      </c>
    </row>
    <row r="32">
      <c r="A32" s="16" t="inlineStr">
        <is>
          <t>100231</t>
        </is>
      </c>
      <c r="B32" s="16" t="inlineStr">
        <is>
          <t>7727004200</t>
        </is>
      </c>
      <c r="C32" s="16" t="inlineStr">
        <is>
          <t>0688132141</t>
        </is>
      </c>
      <c r="D32" s="16" t="inlineStr">
        <is>
          <t>2025-12-30</t>
        </is>
      </c>
      <c r="E32" s="16" t="inlineStr">
        <is>
          <t>Hearing Set</t>
        </is>
      </c>
      <c r="F32" s="16" t="inlineStr">
        <is>
          <t>2025-11-21</t>
        </is>
      </c>
      <c r="G32" s="16" t="inlineStr">
        <is>
          <t>2025-12-11</t>
        </is>
      </c>
      <c r="H32" s="16" t="inlineStr">
        <is>
          <t>—</t>
        </is>
      </c>
      <c r="I32" s="16" t="inlineStr">
        <is>
          <t>—</t>
        </is>
      </c>
      <c r="J32" s="16" t="inlineStr">
        <is>
          <t>—</t>
        </is>
      </c>
      <c r="K32" s="16" t="inlineStr">
        <is>
          <t>—</t>
        </is>
      </c>
      <c r="L32" s="16" t="inlineStr">
        <is>
          <t>—</t>
        </is>
      </c>
      <c r="M32" s="16" t="inlineStr">
        <is>
          <t>0</t>
        </is>
      </c>
      <c r="N32" s="16" t="inlineStr">
        <is>
          <t>0</t>
        </is>
      </c>
      <c r="O32" s="16" t="inlineStr">
        <is>
          <t>000000</t>
        </is>
      </c>
    </row>
    <row r="33">
      <c r="A33" s="6" t="inlineStr">
        <is>
          <t>100198</t>
        </is>
      </c>
      <c r="B33" s="6" t="inlineStr">
        <is>
          <t>7727004200</t>
        </is>
      </c>
      <c r="C33" s="6" t="inlineStr">
        <is>
          <t>0688132141</t>
        </is>
      </c>
      <c r="D33" s="6" t="inlineStr">
        <is>
          <t>2026-01-28</t>
        </is>
      </c>
      <c r="E33" s="6" t="inlineStr">
        <is>
          <t>Service Delay</t>
        </is>
      </c>
      <c r="F33" s="6" t="inlineStr">
        <is>
          <t>2025-12-30</t>
        </is>
      </c>
      <c r="G33" s="6" t="inlineStr">
        <is>
          <t>2026-01-23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0</t>
        </is>
      </c>
      <c r="N33" s="6" t="inlineStr">
        <is>
          <t>0</t>
        </is>
      </c>
      <c r="O33" s="6" t="inlineStr">
        <is>
          <t>000000</t>
        </is>
      </c>
    </row>
    <row r="34">
      <c r="A34" s="16" t="inlineStr">
        <is>
          <t>100180</t>
        </is>
      </c>
      <c r="B34" s="16" t="inlineStr">
        <is>
          <t>7727004200</t>
        </is>
      </c>
      <c r="C34" s="16" t="inlineStr">
        <is>
          <t>0688132141</t>
        </is>
      </c>
      <c r="D34" s="16" t="inlineStr">
        <is>
          <t>2026-04-16</t>
        </is>
      </c>
      <c r="E34" s="16" t="inlineStr">
        <is>
          <t>Hearing Set</t>
        </is>
      </c>
      <c r="F34" s="16" t="inlineStr">
        <is>
          <t>2026-01-29</t>
        </is>
      </c>
      <c r="G34" s="16" t="inlineStr">
        <is>
          <t>2026-02-13</t>
        </is>
      </c>
      <c r="H34" s="16" t="inlineStr">
        <is>
          <t>—</t>
        </is>
      </c>
      <c r="I34" s="16" t="inlineStr">
        <is>
          <t>—</t>
        </is>
      </c>
      <c r="J34" s="16" t="inlineStr">
        <is>
          <t>—</t>
        </is>
      </c>
      <c r="K34" s="16" t="inlineStr">
        <is>
          <t>—</t>
        </is>
      </c>
      <c r="L34" s="16" t="inlineStr">
        <is>
          <t>—</t>
        </is>
      </c>
      <c r="M34" s="16" t="inlineStr">
        <is>
          <t>0</t>
        </is>
      </c>
      <c r="N34" s="16" t="inlineStr">
        <is>
          <t>0</t>
        </is>
      </c>
      <c r="O34" s="16" t="inlineStr">
        <is>
          <t>000000</t>
        </is>
      </c>
    </row>
    <row r="35">
      <c r="A35" s="6" t="inlineStr">
        <is>
          <t>100143</t>
        </is>
      </c>
      <c r="B35" s="6" t="inlineStr">
        <is>
          <t>7727004200</t>
        </is>
      </c>
      <c r="C35" s="6" t="inlineStr">
        <is>
          <t>0688132141</t>
        </is>
      </c>
      <c r="D35" s="6" t="inlineStr">
        <is>
          <t>2026-06-04</t>
        </is>
      </c>
      <c r="E35" s="6" t="inlineStr">
        <is>
          <t>Delinquency Review</t>
        </is>
      </c>
      <c r="F35" s="6" t="inlineStr">
        <is>
          <t>2026-04-17</t>
        </is>
      </c>
      <c r="G35" s="6" t="inlineStr">
        <is>
          <t>2026-04-17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0</t>
        </is>
      </c>
      <c r="N35" s="6" t="inlineStr">
        <is>
          <t>0</t>
        </is>
      </c>
      <c r="O35" s="6" t="inlineStr">
        <is>
          <t>000000</t>
        </is>
      </c>
    </row>
  </sheetData>
  <mergeCells count="13">
    <mergeCell ref="A12:O12"/>
    <mergeCell ref="A7:O7"/>
    <mergeCell ref="A2:O2"/>
    <mergeCell ref="A10:O10"/>
    <mergeCell ref="A13:O13"/>
    <mergeCell ref="A11:O11"/>
    <mergeCell ref="A1:O1"/>
    <mergeCell ref="A5:O5"/>
    <mergeCell ref="A8:O8"/>
    <mergeCell ref="A6:O6"/>
    <mergeCell ref="A9:O9"/>
    <mergeCell ref="A4:O4"/>
    <mergeCell ref="A3:O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3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20" customHeight="1">
      <c r="A1" s="9" t="inlineStr">
        <is>
          <t>bpms.sync_loan_foreclosure_loss_mitigation — LM 周期历史</t>
        </is>
      </c>
    </row>
    <row r="2">
      <c r="A2" s="13" t="inlineStr">
        <is>
          <t>全 22 字段 · 多行/贷款（全历史） · 共 21 行 · 各贷款行数：{'7727000010': 2, '7727000065': 2, '7727000088': 9, '7727000672': 2, '7727004200': 6} · prod 实测 2026-06-04</t>
        </is>
      </c>
    </row>
    <row r="3" ht="56" customHeight="1">
      <c r="A3" s="14" t="inlineStr">
        <is>
          <t>查询 SQL（prod 只读）：
-- bpms.sync_loan_foreclosure_loss_mitigation · mysql_prod(只读) · 多行/贷款（全历史） · 业务日 2026-06-01
SELECT * FROM bpms.sync_loan_foreclosure_loss_mitigation WHERE loanid IN (7727000088,7727000672,7727004200,7727000065,7727000010) ORDER BY loanid, cycle_opened_date;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30" customHeight="1">
      <c r="A5" s="36" t="inlineStr">
        <is>
          <t>业务含义/目的：BPS LM 周期历史(1 行/LM 周期，已解码)。 BPS LM 面板。</t>
        </is>
      </c>
    </row>
    <row r="6" ht="18" customHeight="1">
      <c r="A6" s="36" t="inlineStr">
        <is>
          <t>何时来查：查 BPS 上某贷款全部 LM 周期落库记录。</t>
        </is>
      </c>
    </row>
    <row r="7" ht="18" customHeight="1">
      <c r="A7" s="36" t="inlineStr">
        <is>
          <t>为什么这样处理：见 ⑬；L4 解码后同步覆盖更新。</t>
        </is>
      </c>
    </row>
    <row r="8" ht="18" customHeight="1">
      <c r="A8" s="36" t="inlineStr">
        <is>
          <t>数据粒度：1 行/LM 周期。</t>
        </is>
      </c>
    </row>
    <row r="9" ht="60" customHeight="1">
      <c r="A9" s="36" t="inlineStr">
        <is>
          <t>上游链路：port.basic_data_loan_foreclosure_loss_mitigation → bpms.sync_loan_foreclosure_loss_mitigation〔asset_managment_config.py:799-819〕</t>
        </is>
      </c>
    </row>
    <row r="10" ht="30" customHeight="1">
      <c r="A10" s="36" t="inlineStr">
        <is>
          <t>全部上游表：port.basic_data_loan_foreclosure_loss_mitigation</t>
        </is>
      </c>
    </row>
    <row r="11" ht="30" customHeight="1">
      <c r="A11" s="36" t="inlineStr">
        <is>
          <t>下游链路：→ bpms.biz_data_view_loan_details_foreclosure(视图) → BPS LM 面板</t>
        </is>
      </c>
    </row>
    <row r="12" ht="30" customHeight="1">
      <c r="A12" s="36" t="inlineStr">
        <is>
          <t>全部下游表：bpms.biz_data_view_loan_details_foreclosure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10" t="inlineStr">
        <is>
          <t>id</t>
        </is>
      </c>
      <c r="B14" s="10" t="inlineStr">
        <is>
          <t>loanid</t>
        </is>
      </c>
      <c r="C14" s="10" t="inlineStr">
        <is>
          <t>svcloanid</t>
        </is>
      </c>
      <c r="D14" s="10" t="inlineStr">
        <is>
          <t>fctrdt</t>
        </is>
      </c>
      <c r="E14" s="10" t="inlineStr">
        <is>
          <t>deal</t>
        </is>
      </c>
      <c r="F14" s="10" t="inlineStr">
        <is>
          <t>program</t>
        </is>
      </c>
      <c r="G14" s="10" t="inlineStr">
        <is>
          <t>lmc_status</t>
        </is>
      </c>
      <c r="H14" s="10" t="inlineStr">
        <is>
          <t>cycle_opened_date</t>
        </is>
      </c>
      <c r="I14" s="10" t="inlineStr">
        <is>
          <t>cycle_closed_date</t>
        </is>
      </c>
      <c r="J14" s="10" t="inlineStr">
        <is>
          <t>final_disposition</t>
        </is>
      </c>
      <c r="K14" s="10" t="inlineStr">
        <is>
          <t>denialreason</t>
        </is>
      </c>
      <c r="L14" s="10" t="inlineStr">
        <is>
          <t>borrower_intentions</t>
        </is>
      </c>
      <c r="M14" s="10" t="inlineStr">
        <is>
          <t>imminent_default</t>
        </is>
      </c>
      <c r="N14" s="10" t="inlineStr">
        <is>
          <t>single_point_of_contact</t>
        </is>
      </c>
      <c r="O14" s="10" t="inlineStr">
        <is>
          <t>create_user</t>
        </is>
      </c>
      <c r="P14" s="10" t="inlineStr">
        <is>
          <t>create_dept</t>
        </is>
      </c>
      <c r="Q14" s="10" t="inlineStr">
        <is>
          <t>create_time</t>
        </is>
      </c>
      <c r="R14" s="10" t="inlineStr">
        <is>
          <t>update_user</t>
        </is>
      </c>
      <c r="S14" s="10" t="inlineStr">
        <is>
          <t>update_time</t>
        </is>
      </c>
      <c r="T14" s="10" t="inlineStr">
        <is>
          <t>status</t>
        </is>
      </c>
      <c r="U14" s="10" t="inlineStr">
        <is>
          <t>is_deleted</t>
        </is>
      </c>
      <c r="V14" s="10" t="inlineStr">
        <is>
          <t>tenant_id</t>
        </is>
      </c>
    </row>
    <row r="15">
      <c r="A15" s="6" t="inlineStr">
        <is>
          <t>183363</t>
        </is>
      </c>
      <c r="B15" s="6" t="inlineStr">
        <is>
          <t>7727000010</t>
        </is>
      </c>
      <c r="C15" s="6" t="inlineStr">
        <is>
          <t>1031718692</t>
        </is>
      </c>
      <c r="D15" s="6" t="inlineStr">
        <is>
          <t>2026-04-15</t>
        </is>
      </c>
      <c r="E15" s="6" t="inlineStr">
        <is>
          <t>Evaluation</t>
        </is>
      </c>
      <c r="F15" s="6" t="inlineStr">
        <is>
          <t>Evaluation</t>
        </is>
      </c>
      <c r="G15" s="6" t="inlineStr">
        <is>
          <t xml:space="preserve">Pending Financials </t>
        </is>
      </c>
      <c r="H15" s="6" t="inlineStr">
        <is>
          <t>2024-11-26</t>
        </is>
      </c>
      <c r="I15" s="6" t="inlineStr">
        <is>
          <t>2024-12-23</t>
        </is>
      </c>
      <c r="J15" s="6" t="inlineStr">
        <is>
          <t>Request Incomplete/Failed to Provide Information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6" t="inlineStr">
        <is>
          <t>—</t>
        </is>
      </c>
      <c r="R15" s="6" t="inlineStr">
        <is>
          <t>—</t>
        </is>
      </c>
      <c r="S15" s="6" t="inlineStr">
        <is>
          <t>—</t>
        </is>
      </c>
      <c r="T15" s="6" t="inlineStr">
        <is>
          <t>0</t>
        </is>
      </c>
      <c r="U15" s="6" t="inlineStr">
        <is>
          <t>0</t>
        </is>
      </c>
      <c r="V15" s="6" t="inlineStr">
        <is>
          <t>000000</t>
        </is>
      </c>
    </row>
    <row r="16">
      <c r="A16" s="16" t="inlineStr">
        <is>
          <t>183364</t>
        </is>
      </c>
      <c r="B16" s="16" t="inlineStr">
        <is>
          <t>7727000010</t>
        </is>
      </c>
      <c r="C16" s="16" t="inlineStr">
        <is>
          <t>1031718692</t>
        </is>
      </c>
      <c r="D16" s="16" t="inlineStr">
        <is>
          <t>2026-06-04</t>
        </is>
      </c>
      <c r="E16" s="16" t="inlineStr">
        <is>
          <t>Modification</t>
        </is>
      </c>
      <c r="F16" s="16" t="inlineStr">
        <is>
          <t>498.0</t>
        </is>
      </c>
      <c r="G16" s="16" t="inlineStr">
        <is>
          <t>Workout Denial</t>
        </is>
      </c>
      <c r="H16" s="16" t="inlineStr">
        <is>
          <t>2026-04-16</t>
        </is>
      </c>
      <c r="I16" s="16" t="inlineStr">
        <is>
          <t>2026-04-28</t>
        </is>
      </c>
      <c r="J16" s="16" t="inlineStr">
        <is>
          <t>Referral to FC</t>
        </is>
      </c>
      <c r="K16" s="16" t="inlineStr">
        <is>
          <t>Hardship not resolved</t>
        </is>
      </c>
      <c r="L16" s="16" t="inlineStr">
        <is>
          <t>—</t>
        </is>
      </c>
      <c r="M16" s="16" t="inlineStr">
        <is>
          <t>—</t>
        </is>
      </c>
      <c r="N16" s="16" t="inlineStr">
        <is>
          <t>—</t>
        </is>
      </c>
      <c r="O16" s="16" t="inlineStr">
        <is>
          <t>—</t>
        </is>
      </c>
      <c r="P16" s="16" t="inlineStr">
        <is>
          <t>—</t>
        </is>
      </c>
      <c r="Q16" s="16" t="inlineStr">
        <is>
          <t>—</t>
        </is>
      </c>
      <c r="R16" s="16" t="inlineStr">
        <is>
          <t>—</t>
        </is>
      </c>
      <c r="S16" s="16" t="inlineStr">
        <is>
          <t>—</t>
        </is>
      </c>
      <c r="T16" s="16" t="inlineStr">
        <is>
          <t>0</t>
        </is>
      </c>
      <c r="U16" s="16" t="inlineStr">
        <is>
          <t>0</t>
        </is>
      </c>
      <c r="V16" s="16" t="inlineStr">
        <is>
          <t>000000</t>
        </is>
      </c>
    </row>
    <row r="17">
      <c r="A17" s="6" t="inlineStr">
        <is>
          <t>183370</t>
        </is>
      </c>
      <c r="B17" s="6" t="inlineStr">
        <is>
          <t>7727000065</t>
        </is>
      </c>
      <c r="C17" s="6" t="inlineStr">
        <is>
          <t>1031718621</t>
        </is>
      </c>
      <c r="D17" s="6" t="inlineStr">
        <is>
          <t>2025-06-30</t>
        </is>
      </c>
      <c r="E17" s="6" t="inlineStr">
        <is>
          <t>Evaluation</t>
        </is>
      </c>
      <c r="F17" s="6" t="inlineStr">
        <is>
          <t>Evaluation</t>
        </is>
      </c>
      <c r="G17" s="6" t="inlineStr">
        <is>
          <t xml:space="preserve">Pending Financials </t>
        </is>
      </c>
      <c r="H17" s="6" t="inlineStr">
        <is>
          <t>2024-11-26</t>
        </is>
      </c>
      <c r="I17" s="6" t="inlineStr">
        <is>
          <t>2024-12-23</t>
        </is>
      </c>
      <c r="J17" s="6" t="inlineStr">
        <is>
          <t>Request Incomplete/Failed to Provide Information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6" t="inlineStr">
        <is>
          <t>—</t>
        </is>
      </c>
      <c r="R17" s="6" t="inlineStr">
        <is>
          <t>—</t>
        </is>
      </c>
      <c r="S17" s="6" t="inlineStr">
        <is>
          <t>—</t>
        </is>
      </c>
      <c r="T17" s="6" t="inlineStr">
        <is>
          <t>0</t>
        </is>
      </c>
      <c r="U17" s="6" t="inlineStr">
        <is>
          <t>0</t>
        </is>
      </c>
      <c r="V17" s="6" t="inlineStr">
        <is>
          <t>000000</t>
        </is>
      </c>
    </row>
    <row r="18">
      <c r="A18" s="16" t="inlineStr">
        <is>
          <t>183371</t>
        </is>
      </c>
      <c r="B18" s="16" t="inlineStr">
        <is>
          <t>7727000065</t>
        </is>
      </c>
      <c r="C18" s="16" t="inlineStr">
        <is>
          <t>1031718621</t>
        </is>
      </c>
      <c r="D18" s="16" t="inlineStr">
        <is>
          <t>2026-06-04</t>
        </is>
      </c>
      <c r="E18" s="16" t="inlineStr">
        <is>
          <t>Evaluation</t>
        </is>
      </c>
      <c r="F18" s="16" t="inlineStr">
        <is>
          <t>Evaluation</t>
        </is>
      </c>
      <c r="G18" s="16" t="inlineStr">
        <is>
          <t xml:space="preserve">Pending Financials </t>
        </is>
      </c>
      <c r="H18" s="16" t="inlineStr">
        <is>
          <t>2025-07-01</t>
        </is>
      </c>
      <c r="I18" s="16" t="inlineStr">
        <is>
          <t>2025-07-01</t>
        </is>
      </c>
      <c r="J18" s="16" t="inlineStr">
        <is>
          <t>LMS Opened in Error</t>
        </is>
      </c>
      <c r="K18" s="16" t="inlineStr">
        <is>
          <t>—</t>
        </is>
      </c>
      <c r="L18" s="16" t="inlineStr">
        <is>
          <t>—</t>
        </is>
      </c>
      <c r="M18" s="16" t="inlineStr">
        <is>
          <t>—</t>
        </is>
      </c>
      <c r="N18" s="16" t="inlineStr">
        <is>
          <t>—</t>
        </is>
      </c>
      <c r="O18" s="16" t="inlineStr">
        <is>
          <t>—</t>
        </is>
      </c>
      <c r="P18" s="16" t="inlineStr">
        <is>
          <t>—</t>
        </is>
      </c>
      <c r="Q18" s="16" t="inlineStr">
        <is>
          <t>—</t>
        </is>
      </c>
      <c r="R18" s="16" t="inlineStr">
        <is>
          <t>—</t>
        </is>
      </c>
      <c r="S18" s="16" t="inlineStr">
        <is>
          <t>—</t>
        </is>
      </c>
      <c r="T18" s="16" t="inlineStr">
        <is>
          <t>0</t>
        </is>
      </c>
      <c r="U18" s="16" t="inlineStr">
        <is>
          <t>0</t>
        </is>
      </c>
      <c r="V18" s="16" t="inlineStr">
        <is>
          <t>000000</t>
        </is>
      </c>
    </row>
    <row r="19">
      <c r="A19" s="6" t="inlineStr">
        <is>
          <t>183380</t>
        </is>
      </c>
      <c r="B19" s="6" t="inlineStr">
        <is>
          <t>7727000088</t>
        </is>
      </c>
      <c r="C19" s="6" t="inlineStr">
        <is>
          <t>1031718838</t>
        </is>
      </c>
      <c r="D19" s="6" t="inlineStr">
        <is>
          <t>2025-01-29</t>
        </is>
      </c>
      <c r="E19" s="6" t="inlineStr">
        <is>
          <t>Evaluation</t>
        </is>
      </c>
      <c r="F19" s="6" t="inlineStr">
        <is>
          <t>Evaluation</t>
        </is>
      </c>
      <c r="G19" s="6" t="inlineStr">
        <is>
          <t xml:space="preserve">Pending Financials </t>
        </is>
      </c>
      <c r="H19" s="6" t="inlineStr">
        <is>
          <t>2024-09-20</t>
        </is>
      </c>
      <c r="I19" s="6" t="inlineStr">
        <is>
          <t>2024-10-21</t>
        </is>
      </c>
      <c r="J19" s="6" t="inlineStr">
        <is>
          <t>Request Incomplete/Failed to Provide Information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6" t="inlineStr">
        <is>
          <t>—</t>
        </is>
      </c>
      <c r="R19" s="6" t="inlineStr">
        <is>
          <t>—</t>
        </is>
      </c>
      <c r="S19" s="6" t="inlineStr">
        <is>
          <t>—</t>
        </is>
      </c>
      <c r="T19" s="6" t="inlineStr">
        <is>
          <t>0</t>
        </is>
      </c>
      <c r="U19" s="6" t="inlineStr">
        <is>
          <t>0</t>
        </is>
      </c>
      <c r="V19" s="6" t="inlineStr">
        <is>
          <t>000000</t>
        </is>
      </c>
    </row>
    <row r="20">
      <c r="A20" s="16" t="inlineStr">
        <is>
          <t>183381</t>
        </is>
      </c>
      <c r="B20" s="16" t="inlineStr">
        <is>
          <t>7727000088</t>
        </is>
      </c>
      <c r="C20" s="16" t="inlineStr">
        <is>
          <t>1031718838</t>
        </is>
      </c>
      <c r="D20" s="16" t="inlineStr">
        <is>
          <t>2025-03-16</t>
        </is>
      </c>
      <c r="E20" s="16" t="inlineStr">
        <is>
          <t>Modification</t>
        </is>
      </c>
      <c r="F20" s="16" t="inlineStr">
        <is>
          <t>Bridger mod</t>
        </is>
      </c>
      <c r="G20" s="16" t="inlineStr">
        <is>
          <t>Workout Denial</t>
        </is>
      </c>
      <c r="H20" s="16" t="inlineStr">
        <is>
          <t>2025-01-30</t>
        </is>
      </c>
      <c r="I20" s="16" t="inlineStr">
        <is>
          <t>2025-03-11</t>
        </is>
      </c>
      <c r="J20" s="16" t="inlineStr">
        <is>
          <t>Referral to FC</t>
        </is>
      </c>
      <c r="K20" s="16" t="inlineStr">
        <is>
          <t>—</t>
        </is>
      </c>
      <c r="L20" s="16" t="inlineStr">
        <is>
          <t>—</t>
        </is>
      </c>
      <c r="M20" s="16" t="inlineStr">
        <is>
          <t>—</t>
        </is>
      </c>
      <c r="N20" s="16" t="inlineStr">
        <is>
          <t>—</t>
        </is>
      </c>
      <c r="O20" s="16" t="inlineStr">
        <is>
          <t>—</t>
        </is>
      </c>
      <c r="P20" s="16" t="inlineStr">
        <is>
          <t>—</t>
        </is>
      </c>
      <c r="Q20" s="16" t="inlineStr">
        <is>
          <t>—</t>
        </is>
      </c>
      <c r="R20" s="16" t="inlineStr">
        <is>
          <t>—</t>
        </is>
      </c>
      <c r="S20" s="16" t="inlineStr">
        <is>
          <t>—</t>
        </is>
      </c>
      <c r="T20" s="16" t="inlineStr">
        <is>
          <t>0</t>
        </is>
      </c>
      <c r="U20" s="16" t="inlineStr">
        <is>
          <t>0</t>
        </is>
      </c>
      <c r="V20" s="16" t="inlineStr">
        <is>
          <t>000000</t>
        </is>
      </c>
    </row>
    <row r="21">
      <c r="A21" s="6" t="inlineStr">
        <is>
          <t>183382</t>
        </is>
      </c>
      <c r="B21" s="6" t="inlineStr">
        <is>
          <t>7727000088</t>
        </is>
      </c>
      <c r="C21" s="6" t="inlineStr">
        <is>
          <t>1031718838</t>
        </is>
      </c>
      <c r="D21" s="6" t="inlineStr">
        <is>
          <t>2025-05-07</t>
        </is>
      </c>
      <c r="E21" s="6" t="inlineStr">
        <is>
          <t>Modification</t>
        </is>
      </c>
      <c r="F21" s="6" t="inlineStr">
        <is>
          <t>Bridger mod</t>
        </is>
      </c>
      <c r="G21" s="6" t="inlineStr">
        <is>
          <t>Workout Denial</t>
        </is>
      </c>
      <c r="H21" s="6" t="inlineStr">
        <is>
          <t>2025-03-17</t>
        </is>
      </c>
      <c r="I21" s="6" t="inlineStr">
        <is>
          <t>2025-04-29</t>
        </is>
      </c>
      <c r="J21" s="6" t="inlineStr">
        <is>
          <t>Referral to FC</t>
        </is>
      </c>
      <c r="K21" s="6" t="inlineStr">
        <is>
          <t>Request Incomplete/Failed to Provide Documentation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6" t="inlineStr">
        <is>
          <t>—</t>
        </is>
      </c>
      <c r="R21" s="6" t="inlineStr">
        <is>
          <t>—</t>
        </is>
      </c>
      <c r="S21" s="6" t="inlineStr">
        <is>
          <t>—</t>
        </is>
      </c>
      <c r="T21" s="6" t="inlineStr">
        <is>
          <t>0</t>
        </is>
      </c>
      <c r="U21" s="6" t="inlineStr">
        <is>
          <t>0</t>
        </is>
      </c>
      <c r="V21" s="6" t="inlineStr">
        <is>
          <t>000000</t>
        </is>
      </c>
    </row>
    <row r="22">
      <c r="A22" s="16" t="inlineStr">
        <is>
          <t>183383</t>
        </is>
      </c>
      <c r="B22" s="16" t="inlineStr">
        <is>
          <t>7727000088</t>
        </is>
      </c>
      <c r="C22" s="16" t="inlineStr">
        <is>
          <t>1031718838</t>
        </is>
      </c>
      <c r="D22" s="16" t="inlineStr">
        <is>
          <t>2025-06-19</t>
        </is>
      </c>
      <c r="E22" s="16" t="inlineStr">
        <is>
          <t>Modification</t>
        </is>
      </c>
      <c r="F22" s="16" t="inlineStr">
        <is>
          <t>Bridger mod</t>
        </is>
      </c>
      <c r="G22" s="16" t="inlineStr">
        <is>
          <t>Workout Denial</t>
        </is>
      </c>
      <c r="H22" s="16" t="inlineStr">
        <is>
          <t>2025-05-08</t>
        </is>
      </c>
      <c r="I22" s="16" t="inlineStr">
        <is>
          <t>2025-06-14</t>
        </is>
      </c>
      <c r="J22" s="16" t="inlineStr">
        <is>
          <t>Referral to FC</t>
        </is>
      </c>
      <c r="K22" s="16" t="inlineStr">
        <is>
          <t>Request Incomplete/Failed to Provide Documentation</t>
        </is>
      </c>
      <c r="L22" s="16" t="inlineStr">
        <is>
          <t>—</t>
        </is>
      </c>
      <c r="M22" s="16" t="inlineStr">
        <is>
          <t>—</t>
        </is>
      </c>
      <c r="N22" s="16" t="inlineStr">
        <is>
          <t>—</t>
        </is>
      </c>
      <c r="O22" s="16" t="inlineStr">
        <is>
          <t>—</t>
        </is>
      </c>
      <c r="P22" s="16" t="inlineStr">
        <is>
          <t>—</t>
        </is>
      </c>
      <c r="Q22" s="16" t="inlineStr">
        <is>
          <t>—</t>
        </is>
      </c>
      <c r="R22" s="16" t="inlineStr">
        <is>
          <t>—</t>
        </is>
      </c>
      <c r="S22" s="16" t="inlineStr">
        <is>
          <t>—</t>
        </is>
      </c>
      <c r="T22" s="16" t="inlineStr">
        <is>
          <t>0</t>
        </is>
      </c>
      <c r="U22" s="16" t="inlineStr">
        <is>
          <t>0</t>
        </is>
      </c>
      <c r="V22" s="16" t="inlineStr">
        <is>
          <t>000000</t>
        </is>
      </c>
    </row>
    <row r="23">
      <c r="A23" s="6" t="inlineStr">
        <is>
          <t>183384</t>
        </is>
      </c>
      <c r="B23" s="6" t="inlineStr">
        <is>
          <t>7727000088</t>
        </is>
      </c>
      <c r="C23" s="6" t="inlineStr">
        <is>
          <t>1031718838</t>
        </is>
      </c>
      <c r="D23" s="6" t="inlineStr">
        <is>
          <t>2025-10-20</t>
        </is>
      </c>
      <c r="E23" s="6" t="inlineStr">
        <is>
          <t>Modification</t>
        </is>
      </c>
      <c r="F23" s="6" t="inlineStr">
        <is>
          <t>496.0</t>
        </is>
      </c>
      <c r="G23" s="6" t="inlineStr">
        <is>
          <t>Workout Denial</t>
        </is>
      </c>
      <c r="H23" s="6" t="inlineStr">
        <is>
          <t>2025-06-20</t>
        </is>
      </c>
      <c r="I23" s="6" t="inlineStr">
        <is>
          <t>2025-10-20</t>
        </is>
      </c>
      <c r="J23" s="6" t="inlineStr">
        <is>
          <t>Referral to FC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6" t="inlineStr">
        <is>
          <t>—</t>
        </is>
      </c>
      <c r="R23" s="6" t="inlineStr">
        <is>
          <t>—</t>
        </is>
      </c>
      <c r="S23" s="6" t="inlineStr">
        <is>
          <t>—</t>
        </is>
      </c>
      <c r="T23" s="6" t="inlineStr">
        <is>
          <t>0</t>
        </is>
      </c>
      <c r="U23" s="6" t="inlineStr">
        <is>
          <t>0</t>
        </is>
      </c>
      <c r="V23" s="6" t="inlineStr">
        <is>
          <t>000000</t>
        </is>
      </c>
    </row>
    <row r="24">
      <c r="A24" s="16" t="inlineStr">
        <is>
          <t>183385</t>
        </is>
      </c>
      <c r="B24" s="16" t="inlineStr">
        <is>
          <t>7727000088</t>
        </is>
      </c>
      <c r="C24" s="16" t="inlineStr">
        <is>
          <t>1031718838</t>
        </is>
      </c>
      <c r="D24" s="16" t="inlineStr">
        <is>
          <t>2025-12-09</t>
        </is>
      </c>
      <c r="E24" s="16" t="inlineStr">
        <is>
          <t>Short Sale</t>
        </is>
      </c>
      <c r="F24" s="16" t="inlineStr">
        <is>
          <t>Short Sale</t>
        </is>
      </c>
      <c r="G24" s="16" t="inlineStr">
        <is>
          <t>Document Follow-up</t>
        </is>
      </c>
      <c r="H24" s="16" t="inlineStr">
        <is>
          <t>2025-10-20</t>
        </is>
      </c>
      <c r="I24" s="16" t="inlineStr">
        <is>
          <t>2025-11-21</t>
        </is>
      </c>
      <c r="J24" s="16" t="inlineStr">
        <is>
          <t>Request Incomplete/Failed to Provide Information</t>
        </is>
      </c>
      <c r="K24" s="16" t="inlineStr">
        <is>
          <t>—</t>
        </is>
      </c>
      <c r="L24" s="16" t="inlineStr">
        <is>
          <t>—</t>
        </is>
      </c>
      <c r="M24" s="16" t="inlineStr">
        <is>
          <t>—</t>
        </is>
      </c>
      <c r="N24" s="16" t="inlineStr">
        <is>
          <t>—</t>
        </is>
      </c>
      <c r="O24" s="16" t="inlineStr">
        <is>
          <t>—</t>
        </is>
      </c>
      <c r="P24" s="16" t="inlineStr">
        <is>
          <t>—</t>
        </is>
      </c>
      <c r="Q24" s="16" t="inlineStr">
        <is>
          <t>—</t>
        </is>
      </c>
      <c r="R24" s="16" t="inlineStr">
        <is>
          <t>—</t>
        </is>
      </c>
      <c r="S24" s="16" t="inlineStr">
        <is>
          <t>—</t>
        </is>
      </c>
      <c r="T24" s="16" t="inlineStr">
        <is>
          <t>0</t>
        </is>
      </c>
      <c r="U24" s="16" t="inlineStr">
        <is>
          <t>0</t>
        </is>
      </c>
      <c r="V24" s="16" t="inlineStr">
        <is>
          <t>000000</t>
        </is>
      </c>
    </row>
    <row r="25">
      <c r="A25" s="6" t="inlineStr">
        <is>
          <t>183386</t>
        </is>
      </c>
      <c r="B25" s="6" t="inlineStr">
        <is>
          <t>7727000088</t>
        </is>
      </c>
      <c r="C25" s="6" t="inlineStr">
        <is>
          <t>1031718838</t>
        </is>
      </c>
      <c r="D25" s="6" t="inlineStr">
        <is>
          <t>2026-01-27</t>
        </is>
      </c>
      <c r="E25" s="6" t="inlineStr">
        <is>
          <t>DIL</t>
        </is>
      </c>
      <c r="F25" s="6" t="inlineStr">
        <is>
          <t>Deed-in-Lieu</t>
        </is>
      </c>
      <c r="G25" s="6" t="inlineStr">
        <is>
          <t>DIL Title Ordered</t>
        </is>
      </c>
      <c r="H25" s="6" t="inlineStr">
        <is>
          <t>2025-12-10</t>
        </is>
      </c>
      <c r="I25" s="6" t="inlineStr">
        <is>
          <t>2026-01-27</t>
        </is>
      </c>
      <c r="J25" s="6" t="inlineStr">
        <is>
          <t>LMS Opened in Error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6" t="inlineStr">
        <is>
          <t>—</t>
        </is>
      </c>
      <c r="R25" s="6" t="inlineStr">
        <is>
          <t>—</t>
        </is>
      </c>
      <c r="S25" s="6" t="inlineStr">
        <is>
          <t>—</t>
        </is>
      </c>
      <c r="T25" s="6" t="inlineStr">
        <is>
          <t>0</t>
        </is>
      </c>
      <c r="U25" s="6" t="inlineStr">
        <is>
          <t>0</t>
        </is>
      </c>
      <c r="V25" s="6" t="inlineStr">
        <is>
          <t>000000</t>
        </is>
      </c>
    </row>
    <row r="26">
      <c r="A26" s="16" t="inlineStr">
        <is>
          <t>183387</t>
        </is>
      </c>
      <c r="B26" s="16" t="inlineStr">
        <is>
          <t>7727000088</t>
        </is>
      </c>
      <c r="C26" s="16" t="inlineStr">
        <is>
          <t>1031718838</t>
        </is>
      </c>
      <c r="D26" s="16" t="inlineStr">
        <is>
          <t>2026-02-17</t>
        </is>
      </c>
      <c r="E26" s="16" t="inlineStr">
        <is>
          <t>DIL</t>
        </is>
      </c>
      <c r="F26" s="16" t="inlineStr">
        <is>
          <t>Deed-in-Lieu</t>
        </is>
      </c>
      <c r="G26" s="16" t="inlineStr">
        <is>
          <t>Negotiate DIL liens</t>
        </is>
      </c>
      <c r="H26" s="16" t="inlineStr">
        <is>
          <t>2026-01-27</t>
        </is>
      </c>
      <c r="I26" s="16" t="inlineStr">
        <is>
          <t>2026-02-17</t>
        </is>
      </c>
      <c r="J26" s="16" t="inlineStr">
        <is>
          <t>LMS Opened in Error</t>
        </is>
      </c>
      <c r="K26" s="16" t="inlineStr">
        <is>
          <t>—</t>
        </is>
      </c>
      <c r="L26" s="16" t="inlineStr">
        <is>
          <t>—</t>
        </is>
      </c>
      <c r="M26" s="16" t="inlineStr">
        <is>
          <t>—</t>
        </is>
      </c>
      <c r="N26" s="16" t="inlineStr">
        <is>
          <t>—</t>
        </is>
      </c>
      <c r="O26" s="16" t="inlineStr">
        <is>
          <t>—</t>
        </is>
      </c>
      <c r="P26" s="16" t="inlineStr">
        <is>
          <t>—</t>
        </is>
      </c>
      <c r="Q26" s="16" t="inlineStr">
        <is>
          <t>—</t>
        </is>
      </c>
      <c r="R26" s="16" t="inlineStr">
        <is>
          <t>—</t>
        </is>
      </c>
      <c r="S26" s="16" t="inlineStr">
        <is>
          <t>—</t>
        </is>
      </c>
      <c r="T26" s="16" t="inlineStr">
        <is>
          <t>0</t>
        </is>
      </c>
      <c r="U26" s="16" t="inlineStr">
        <is>
          <t>0</t>
        </is>
      </c>
      <c r="V26" s="16" t="inlineStr">
        <is>
          <t>000000</t>
        </is>
      </c>
    </row>
    <row r="27">
      <c r="A27" s="6" t="inlineStr">
        <is>
          <t>183388</t>
        </is>
      </c>
      <c r="B27" s="6" t="inlineStr">
        <is>
          <t>7727000088</t>
        </is>
      </c>
      <c r="C27" s="6" t="inlineStr">
        <is>
          <t>1031718838</t>
        </is>
      </c>
      <c r="D27" s="6" t="inlineStr">
        <is>
          <t>2026-06-04</t>
        </is>
      </c>
      <c r="E27" s="6" t="inlineStr">
        <is>
          <t>DIL</t>
        </is>
      </c>
      <c r="F27" s="6" t="inlineStr">
        <is>
          <t>Deed-in-Lieu</t>
        </is>
      </c>
      <c r="G27" s="6" t="inlineStr">
        <is>
          <t>Workout Denial</t>
        </is>
      </c>
      <c r="H27" s="6" t="inlineStr">
        <is>
          <t>2026-02-17</t>
        </is>
      </c>
      <c r="I27" s="6" t="inlineStr">
        <is>
          <t>2026-04-24</t>
        </is>
      </c>
      <c r="J27" s="6" t="inlineStr">
        <is>
          <t>Referral to FC</t>
        </is>
      </c>
      <c r="K27" s="6" t="inlineStr">
        <is>
          <t>PMI Company Decline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6" t="inlineStr">
        <is>
          <t>—</t>
        </is>
      </c>
      <c r="R27" s="6" t="inlineStr">
        <is>
          <t>—</t>
        </is>
      </c>
      <c r="S27" s="6" t="inlineStr">
        <is>
          <t>—</t>
        </is>
      </c>
      <c r="T27" s="6" t="inlineStr">
        <is>
          <t>0</t>
        </is>
      </c>
      <c r="U27" s="6" t="inlineStr">
        <is>
          <t>0</t>
        </is>
      </c>
      <c r="V27" s="6" t="inlineStr">
        <is>
          <t>000000</t>
        </is>
      </c>
    </row>
    <row r="28">
      <c r="A28" s="16" t="inlineStr">
        <is>
          <t>183595</t>
        </is>
      </c>
      <c r="B28" s="16" t="inlineStr">
        <is>
          <t>7727000672</t>
        </is>
      </c>
      <c r="C28" s="16" t="inlineStr">
        <is>
          <t>1032761570</t>
        </is>
      </c>
      <c r="D28" s="16" t="inlineStr">
        <is>
          <t>2026-02-24</t>
        </is>
      </c>
      <c r="E28" s="16" t="inlineStr">
        <is>
          <t>Payment Plan</t>
        </is>
      </c>
      <c r="F28" s="16" t="inlineStr">
        <is>
          <t>Repayment Plan</t>
        </is>
      </c>
      <c r="G28" s="16" t="inlineStr">
        <is>
          <t>Workout Denial</t>
        </is>
      </c>
      <c r="H28" s="16" t="inlineStr">
        <is>
          <t>2025-04-11</t>
        </is>
      </c>
      <c r="I28" s="16" t="inlineStr">
        <is>
          <t>2025-08-14</t>
        </is>
      </c>
      <c r="J28" s="16" t="inlineStr">
        <is>
          <t>Referral to FC</t>
        </is>
      </c>
      <c r="K28" s="16" t="inlineStr">
        <is>
          <t>Trial Plan Default</t>
        </is>
      </c>
      <c r="L28" s="16" t="inlineStr">
        <is>
          <t>Retention</t>
        </is>
      </c>
      <c r="M28" s="16" t="inlineStr">
        <is>
          <t>—</t>
        </is>
      </c>
      <c r="N28" s="16" t="inlineStr">
        <is>
          <t>—</t>
        </is>
      </c>
      <c r="O28" s="16" t="inlineStr">
        <is>
          <t>—</t>
        </is>
      </c>
      <c r="P28" s="16" t="inlineStr">
        <is>
          <t>—</t>
        </is>
      </c>
      <c r="Q28" s="16" t="inlineStr">
        <is>
          <t>—</t>
        </is>
      </c>
      <c r="R28" s="16" t="inlineStr">
        <is>
          <t>—</t>
        </is>
      </c>
      <c r="S28" s="16" t="inlineStr">
        <is>
          <t>—</t>
        </is>
      </c>
      <c r="T28" s="16" t="inlineStr">
        <is>
          <t>0</t>
        </is>
      </c>
      <c r="U28" s="16" t="inlineStr">
        <is>
          <t>0</t>
        </is>
      </c>
      <c r="V28" s="16" t="inlineStr">
        <is>
          <t>000000</t>
        </is>
      </c>
    </row>
    <row r="29">
      <c r="A29" s="6" t="inlineStr">
        <is>
          <t>183596</t>
        </is>
      </c>
      <c r="B29" s="6" t="inlineStr">
        <is>
          <t>7727000672</t>
        </is>
      </c>
      <c r="C29" s="6" t="inlineStr">
        <is>
          <t>1032761570</t>
        </is>
      </c>
      <c r="D29" s="6" t="inlineStr">
        <is>
          <t>2026-06-04</t>
        </is>
      </c>
      <c r="E29" s="6" t="inlineStr">
        <is>
          <t>Payment Plan</t>
        </is>
      </c>
      <c r="F29" s="6" t="inlineStr">
        <is>
          <t>Repayment Plan</t>
        </is>
      </c>
      <c r="G29" s="6" t="inlineStr">
        <is>
          <t>Monitor for pmts/funds</t>
        </is>
      </c>
      <c r="H29" s="6" t="inlineStr">
        <is>
          <t>2026-02-25</t>
        </is>
      </c>
      <c r="I29" s="6" t="inlineStr">
        <is>
          <t>—</t>
        </is>
      </c>
      <c r="J29" s="6" t="inlineStr">
        <is>
          <t>Pending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6" t="inlineStr">
        <is>
          <t>—</t>
        </is>
      </c>
      <c r="R29" s="6" t="inlineStr">
        <is>
          <t>—</t>
        </is>
      </c>
      <c r="S29" s="6" t="inlineStr">
        <is>
          <t>—</t>
        </is>
      </c>
      <c r="T29" s="6" t="inlineStr">
        <is>
          <t>0</t>
        </is>
      </c>
      <c r="U29" s="6" t="inlineStr">
        <is>
          <t>0</t>
        </is>
      </c>
      <c r="V29" s="6" t="inlineStr">
        <is>
          <t>000000</t>
        </is>
      </c>
    </row>
    <row r="30">
      <c r="A30" s="16" t="inlineStr">
        <is>
          <t>183870</t>
        </is>
      </c>
      <c r="B30" s="16" t="inlineStr">
        <is>
          <t>7727004200</t>
        </is>
      </c>
      <c r="C30" s="16" t="inlineStr">
        <is>
          <t>0688132141</t>
        </is>
      </c>
      <c r="D30" s="16" t="inlineStr">
        <is>
          <t>2025-05-06</t>
        </is>
      </c>
      <c r="E30" s="16" t="inlineStr">
        <is>
          <t>Forbearance</t>
        </is>
      </c>
      <c r="F30" s="16" t="inlineStr">
        <is>
          <t>Unemployment Forbearance</t>
        </is>
      </c>
      <c r="G30" s="16" t="inlineStr">
        <is>
          <t>Monitor Forbearance</t>
        </is>
      </c>
      <c r="H30" s="16" t="inlineStr">
        <is>
          <t>2025-01-24</t>
        </is>
      </c>
      <c r="I30" s="16" t="inlineStr">
        <is>
          <t>2025-05-02</t>
        </is>
      </c>
      <c r="J30" s="16" t="inlineStr">
        <is>
          <t>Forbearance Complete</t>
        </is>
      </c>
      <c r="K30" s="16" t="inlineStr">
        <is>
          <t>—</t>
        </is>
      </c>
      <c r="L30" s="16" t="inlineStr">
        <is>
          <t>—</t>
        </is>
      </c>
      <c r="M30" s="16" t="inlineStr">
        <is>
          <t>—</t>
        </is>
      </c>
      <c r="N30" s="16" t="inlineStr">
        <is>
          <t>—</t>
        </is>
      </c>
      <c r="O30" s="16" t="inlineStr">
        <is>
          <t>—</t>
        </is>
      </c>
      <c r="P30" s="16" t="inlineStr">
        <is>
          <t>—</t>
        </is>
      </c>
      <c r="Q30" s="16" t="inlineStr">
        <is>
          <t>—</t>
        </is>
      </c>
      <c r="R30" s="16" t="inlineStr">
        <is>
          <t>—</t>
        </is>
      </c>
      <c r="S30" s="16" t="inlineStr">
        <is>
          <t>—</t>
        </is>
      </c>
      <c r="T30" s="16" t="inlineStr">
        <is>
          <t>0</t>
        </is>
      </c>
      <c r="U30" s="16" t="inlineStr">
        <is>
          <t>0</t>
        </is>
      </c>
      <c r="V30" s="16" t="inlineStr">
        <is>
          <t>000000</t>
        </is>
      </c>
    </row>
    <row r="31">
      <c r="A31" s="6" t="inlineStr">
        <is>
          <t>183871</t>
        </is>
      </c>
      <c r="B31" s="6" t="inlineStr">
        <is>
          <t>7727004200</t>
        </is>
      </c>
      <c r="C31" s="6" t="inlineStr">
        <is>
          <t>0688132141</t>
        </is>
      </c>
      <c r="D31" s="6" t="inlineStr">
        <is>
          <t>2025-07-26</t>
        </is>
      </c>
      <c r="E31" s="6" t="inlineStr">
        <is>
          <t>Evaluation</t>
        </is>
      </c>
      <c r="F31" s="6" t="inlineStr">
        <is>
          <t>Evaluation</t>
        </is>
      </c>
      <c r="G31" s="6" t="inlineStr">
        <is>
          <t>Document Follow-up</t>
        </is>
      </c>
      <c r="H31" s="6" t="inlineStr">
        <is>
          <t>2025-05-07</t>
        </is>
      </c>
      <c r="I31" s="6" t="inlineStr">
        <is>
          <t>2025-05-30</t>
        </is>
      </c>
      <c r="J31" s="6" t="inlineStr">
        <is>
          <t>LMS Opened in Error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6" t="inlineStr">
        <is>
          <t>—</t>
        </is>
      </c>
      <c r="R31" s="6" t="inlineStr">
        <is>
          <t>—</t>
        </is>
      </c>
      <c r="S31" s="6" t="inlineStr">
        <is>
          <t>—</t>
        </is>
      </c>
      <c r="T31" s="6" t="inlineStr">
        <is>
          <t>0</t>
        </is>
      </c>
      <c r="U31" s="6" t="inlineStr">
        <is>
          <t>0</t>
        </is>
      </c>
      <c r="V31" s="6" t="inlineStr">
        <is>
          <t>000000</t>
        </is>
      </c>
    </row>
    <row r="32">
      <c r="A32" s="16" t="inlineStr">
        <is>
          <t>183872</t>
        </is>
      </c>
      <c r="B32" s="16" t="inlineStr">
        <is>
          <t>7727004200</t>
        </is>
      </c>
      <c r="C32" s="16" t="inlineStr">
        <is>
          <t>0688132141</t>
        </is>
      </c>
      <c r="D32" s="16" t="inlineStr">
        <is>
          <t>2025-10-02</t>
        </is>
      </c>
      <c r="E32" s="16" t="inlineStr">
        <is>
          <t>Modification</t>
        </is>
      </c>
      <c r="F32" s="16" t="inlineStr">
        <is>
          <t>496.0</t>
        </is>
      </c>
      <c r="G32" s="16" t="inlineStr">
        <is>
          <t>Workout Denial</t>
        </is>
      </c>
      <c r="H32" s="16" t="inlineStr">
        <is>
          <t>2025-07-27</t>
        </is>
      </c>
      <c r="I32" s="16" t="inlineStr">
        <is>
          <t>2025-09-19</t>
        </is>
      </c>
      <c r="J32" s="16" t="inlineStr">
        <is>
          <t>Referral to FC</t>
        </is>
      </c>
      <c r="K32" s="16" t="inlineStr">
        <is>
          <t>—</t>
        </is>
      </c>
      <c r="L32" s="16" t="inlineStr">
        <is>
          <t>—</t>
        </is>
      </c>
      <c r="M32" s="16" t="inlineStr">
        <is>
          <t>—</t>
        </is>
      </c>
      <c r="N32" s="16" t="inlineStr">
        <is>
          <t>—</t>
        </is>
      </c>
      <c r="O32" s="16" t="inlineStr">
        <is>
          <t>—</t>
        </is>
      </c>
      <c r="P32" s="16" t="inlineStr">
        <is>
          <t>—</t>
        </is>
      </c>
      <c r="Q32" s="16" t="inlineStr">
        <is>
          <t>—</t>
        </is>
      </c>
      <c r="R32" s="16" t="inlineStr">
        <is>
          <t>—</t>
        </is>
      </c>
      <c r="S32" s="16" t="inlineStr">
        <is>
          <t>—</t>
        </is>
      </c>
      <c r="T32" s="16" t="inlineStr">
        <is>
          <t>0</t>
        </is>
      </c>
      <c r="U32" s="16" t="inlineStr">
        <is>
          <t>0</t>
        </is>
      </c>
      <c r="V32" s="16" t="inlineStr">
        <is>
          <t>000000</t>
        </is>
      </c>
    </row>
    <row r="33">
      <c r="A33" s="6" t="inlineStr">
        <is>
          <t>183873</t>
        </is>
      </c>
      <c r="B33" s="6" t="inlineStr">
        <is>
          <t>7727004200</t>
        </is>
      </c>
      <c r="C33" s="6" t="inlineStr">
        <is>
          <t>0688132141</t>
        </is>
      </c>
      <c r="D33" s="6" t="inlineStr">
        <is>
          <t>2025-11-16</t>
        </is>
      </c>
      <c r="E33" s="6" t="inlineStr">
        <is>
          <t>Modification</t>
        </is>
      </c>
      <c r="F33" s="6" t="inlineStr">
        <is>
          <t>496.0</t>
        </is>
      </c>
      <c r="G33" s="6" t="inlineStr">
        <is>
          <t>Workout Denial</t>
        </is>
      </c>
      <c r="H33" s="6" t="inlineStr">
        <is>
          <t>2025-10-03</t>
        </is>
      </c>
      <c r="I33" s="6" t="inlineStr">
        <is>
          <t>—</t>
        </is>
      </c>
      <c r="J33" s="6" t="inlineStr">
        <is>
          <t>Pending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6" t="inlineStr">
        <is>
          <t>—</t>
        </is>
      </c>
      <c r="R33" s="6" t="inlineStr">
        <is>
          <t>—</t>
        </is>
      </c>
      <c r="S33" s="6" t="inlineStr">
        <is>
          <t>—</t>
        </is>
      </c>
      <c r="T33" s="6" t="inlineStr">
        <is>
          <t>0</t>
        </is>
      </c>
      <c r="U33" s="6" t="inlineStr">
        <is>
          <t>0</t>
        </is>
      </c>
      <c r="V33" s="6" t="inlineStr">
        <is>
          <t>000000</t>
        </is>
      </c>
    </row>
    <row r="34">
      <c r="A34" s="16" t="inlineStr">
        <is>
          <t>183874</t>
        </is>
      </c>
      <c r="B34" s="16" t="inlineStr">
        <is>
          <t>7727004200</t>
        </is>
      </c>
      <c r="C34" s="16" t="inlineStr">
        <is>
          <t>0688132141</t>
        </is>
      </c>
      <c r="D34" s="16" t="inlineStr">
        <is>
          <t>2026-01-05</t>
        </is>
      </c>
      <c r="E34" s="16" t="inlineStr">
        <is>
          <t>Modification</t>
        </is>
      </c>
      <c r="F34" s="16" t="inlineStr">
        <is>
          <t>496.0</t>
        </is>
      </c>
      <c r="G34" s="16" t="inlineStr">
        <is>
          <t>Workout Denial</t>
        </is>
      </c>
      <c r="H34" s="16" t="inlineStr">
        <is>
          <t>2025-11-17</t>
        </is>
      </c>
      <c r="I34" s="16" t="inlineStr">
        <is>
          <t>2026-01-02</t>
        </is>
      </c>
      <c r="J34" s="16" t="inlineStr">
        <is>
          <t>Referral to FC</t>
        </is>
      </c>
      <c r="K34" s="16" t="inlineStr">
        <is>
          <t>—</t>
        </is>
      </c>
      <c r="L34" s="16" t="inlineStr">
        <is>
          <t>—</t>
        </is>
      </c>
      <c r="M34" s="16" t="inlineStr">
        <is>
          <t>—</t>
        </is>
      </c>
      <c r="N34" s="16" t="inlineStr">
        <is>
          <t>—</t>
        </is>
      </c>
      <c r="O34" s="16" t="inlineStr">
        <is>
          <t>—</t>
        </is>
      </c>
      <c r="P34" s="16" t="inlineStr">
        <is>
          <t>—</t>
        </is>
      </c>
      <c r="Q34" s="16" t="inlineStr">
        <is>
          <t>—</t>
        </is>
      </c>
      <c r="R34" s="16" t="inlineStr">
        <is>
          <t>—</t>
        </is>
      </c>
      <c r="S34" s="16" t="inlineStr">
        <is>
          <t>—</t>
        </is>
      </c>
      <c r="T34" s="16" t="inlineStr">
        <is>
          <t>0</t>
        </is>
      </c>
      <c r="U34" s="16" t="inlineStr">
        <is>
          <t>0</t>
        </is>
      </c>
      <c r="V34" s="16" t="inlineStr">
        <is>
          <t>000000</t>
        </is>
      </c>
    </row>
    <row r="35">
      <c r="A35" s="6" t="inlineStr">
        <is>
          <t>183875</t>
        </is>
      </c>
      <c r="B35" s="6" t="inlineStr">
        <is>
          <t>7727004200</t>
        </is>
      </c>
      <c r="C35" s="6" t="inlineStr">
        <is>
          <t>0688132141</t>
        </is>
      </c>
      <c r="D35" s="6" t="inlineStr">
        <is>
          <t>2026-06-04</t>
        </is>
      </c>
      <c r="E35" s="6" t="inlineStr">
        <is>
          <t>Modification</t>
        </is>
      </c>
      <c r="F35" s="6" t="inlineStr">
        <is>
          <t>496.0</t>
        </is>
      </c>
      <c r="G35" s="6" t="inlineStr">
        <is>
          <t>Document Follow-up</t>
        </is>
      </c>
      <c r="H35" s="6" t="inlineStr">
        <is>
          <t>2026-01-06</t>
        </is>
      </c>
      <c r="I35" s="6" t="inlineStr">
        <is>
          <t>2026-02-02</t>
        </is>
      </c>
      <c r="J35" s="6" t="inlineStr">
        <is>
          <t>Request Incomplete/Failed to Provide Information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6" t="inlineStr">
        <is>
          <t>—</t>
        </is>
      </c>
      <c r="R35" s="6" t="inlineStr">
        <is>
          <t>—</t>
        </is>
      </c>
      <c r="S35" s="6" t="inlineStr">
        <is>
          <t>—</t>
        </is>
      </c>
      <c r="T35" s="6" t="inlineStr">
        <is>
          <t>0</t>
        </is>
      </c>
      <c r="U35" s="6" t="inlineStr">
        <is>
          <t>0</t>
        </is>
      </c>
      <c r="V35" s="6" t="inlineStr">
        <is>
          <t>000000</t>
        </is>
      </c>
    </row>
  </sheetData>
  <mergeCells count="13">
    <mergeCell ref="A2:V2"/>
    <mergeCell ref="A10:V10"/>
    <mergeCell ref="A13:V13"/>
    <mergeCell ref="A11:V11"/>
    <mergeCell ref="A5:V5"/>
    <mergeCell ref="A1:V1"/>
    <mergeCell ref="A8:V8"/>
    <mergeCell ref="A6:V6"/>
    <mergeCell ref="A9:V9"/>
    <mergeCell ref="A3:V3"/>
    <mergeCell ref="A12:V12"/>
    <mergeCell ref="A4:V4"/>
    <mergeCell ref="A7:V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20" customHeight="1">
      <c r="A1" s="9" t="inlineStr">
        <is>
          <t>bpms.sync_loan_foreclosure_bankruptcy — 破产记录</t>
        </is>
      </c>
    </row>
    <row r="2">
      <c r="A2" s="13" t="inlineStr">
        <is>
          <t>全 22 字段 · 多行/贷款（全历史） · 共 3 行 · 各贷款行数：{'7727000010': 2, '7727000065': 1} · prod 实测 2026-06-04</t>
        </is>
      </c>
    </row>
    <row r="3" ht="56" customHeight="1">
      <c r="A3" s="14" t="inlineStr">
        <is>
          <t>查询 SQL（prod 只读）：
-- bpms.sync_loan_foreclosure_bankruptcy · mysql_prod(只读) · 多行/贷款（全历史） · 业务日 2026-06-01
SELECT * FROM bpms.sync_loan_foreclosure_bankruptcy WHERE loanid IN (7727000088,7727000672,7727004200,7727000065,7727000010) ORDER BY loanid, status_date;</t>
        </is>
      </c>
    </row>
    <row r="4" ht="30" customHeight="1">
      <c r="A4" s="35" t="inlineStr">
        <is>
          <t>📋 业务含义与全链路血缘  〔自动生成·勿手改本块；改 outputs/fcl_table_meta.json 后重跑〕</t>
        </is>
      </c>
    </row>
    <row r="5" ht="30" customHeight="1">
      <c r="A5" s="36" t="inlineStr">
        <is>
          <t>业务含义/目的：BPS 破产记录(1 行/破产申请，已解码)。 BPS 破产面板。</t>
        </is>
      </c>
    </row>
    <row r="6" ht="18" customHeight="1">
      <c r="A6" s="36" t="inlineStr">
        <is>
          <t>何时来查：查 BPS 上某贷款全部破产记录落库值。</t>
        </is>
      </c>
    </row>
    <row r="7" ht="18" customHeight="1">
      <c r="A7" s="36" t="inlineStr">
        <is>
          <t>为什么这样处理：见 ⑭；L4 解码后同步覆盖更新。</t>
        </is>
      </c>
    </row>
    <row r="8" ht="18" customHeight="1">
      <c r="A8" s="36" t="inlineStr">
        <is>
          <t>数据粒度：1 行/破产申请。</t>
        </is>
      </c>
    </row>
    <row r="9" ht="60" customHeight="1">
      <c r="A9" s="36" t="inlineStr">
        <is>
          <t>上游链路：port.basic_data_loan_foreclosure_bankruptcy → bpms.sync_loan_foreclosure_bankruptcy〔asset_managment_config.py:822-843〕</t>
        </is>
      </c>
    </row>
    <row r="10" ht="30" customHeight="1">
      <c r="A10" s="36" t="inlineStr">
        <is>
          <t>全部上游表：port.basic_data_loan_foreclosure_bankruptcy</t>
        </is>
      </c>
    </row>
    <row r="11" ht="30" customHeight="1">
      <c r="A11" s="36" t="inlineStr">
        <is>
          <t>下游链路：→ bpms.biz_data_view_loan_details_foreclosure(视图) → BPS 破产面板</t>
        </is>
      </c>
    </row>
    <row r="12" ht="30" customHeight="1">
      <c r="A12" s="36" t="inlineStr">
        <is>
          <t>全部下游表：bpms.biz_data_view_loan_details_foreclosure</t>
        </is>
      </c>
    </row>
    <row r="13" ht="18" customHeight="1">
      <c r="A13" s="37" t="inlineStr">
        <is>
          <t>▲ 以上为「业务含义与全链路血缘」说明块；下方为原始数据 ────</t>
        </is>
      </c>
    </row>
    <row r="14">
      <c r="A14" s="10" t="inlineStr">
        <is>
          <t>id</t>
        </is>
      </c>
      <c r="B14" s="10" t="inlineStr">
        <is>
          <t>loanid</t>
        </is>
      </c>
      <c r="C14" s="10" t="inlineStr">
        <is>
          <t>svcloanid</t>
        </is>
      </c>
      <c r="D14" s="10" t="inlineStr">
        <is>
          <t>fctrdt</t>
        </is>
      </c>
      <c r="E14" s="10" t="inlineStr">
        <is>
          <t>bankruptcy_status</t>
        </is>
      </c>
      <c r="F14" s="10" t="inlineStr">
        <is>
          <t>legal_status</t>
        </is>
      </c>
      <c r="G14" s="10" t="inlineStr">
        <is>
          <t>status_date</t>
        </is>
      </c>
      <c r="H14" s="10" t="inlineStr">
        <is>
          <t>chapter</t>
        </is>
      </c>
      <c r="I14" s="10" t="inlineStr">
        <is>
          <t>lien_status</t>
        </is>
      </c>
      <c r="J14" s="10" t="inlineStr">
        <is>
          <t>mfr_status</t>
        </is>
      </c>
      <c r="K14" s="10" t="inlineStr">
        <is>
          <t>mfr_filed_date</t>
        </is>
      </c>
      <c r="L14" s="10" t="inlineStr">
        <is>
          <t>claim_status</t>
        </is>
      </c>
      <c r="M14" s="10" t="inlineStr">
        <is>
          <t>proof_of_claim_date</t>
        </is>
      </c>
      <c r="N14" s="10" t="inlineStr">
        <is>
          <t>post_petition_due_date</t>
        </is>
      </c>
      <c r="O14" s="10" t="inlineStr">
        <is>
          <t>create_user</t>
        </is>
      </c>
      <c r="P14" s="10" t="inlineStr">
        <is>
          <t>create_dept</t>
        </is>
      </c>
      <c r="Q14" s="10" t="inlineStr">
        <is>
          <t>create_time</t>
        </is>
      </c>
      <c r="R14" s="10" t="inlineStr">
        <is>
          <t>update_user</t>
        </is>
      </c>
      <c r="S14" s="10" t="inlineStr">
        <is>
          <t>update_time</t>
        </is>
      </c>
      <c r="T14" s="10" t="inlineStr">
        <is>
          <t>status</t>
        </is>
      </c>
      <c r="U14" s="10" t="inlineStr">
        <is>
          <t>is_deleted</t>
        </is>
      </c>
      <c r="V14" s="10" t="inlineStr">
        <is>
          <t>tenant_id</t>
        </is>
      </c>
    </row>
    <row r="15">
      <c r="A15" s="6" t="inlineStr">
        <is>
          <t>20797</t>
        </is>
      </c>
      <c r="B15" s="6" t="inlineStr">
        <is>
          <t>7727000010</t>
        </is>
      </c>
      <c r="C15" s="6" t="inlineStr">
        <is>
          <t>1031718692</t>
        </is>
      </c>
      <c r="D15" s="6" t="inlineStr">
        <is>
          <t>2024-07-24</t>
        </is>
      </c>
      <c r="E15" s="6" t="inlineStr">
        <is>
          <t>Active</t>
        </is>
      </c>
      <c r="F15" s="6" t="inlineStr">
        <is>
          <t>BK13</t>
        </is>
      </c>
      <c r="G15" s="6" t="inlineStr">
        <is>
          <t>2023-08-23</t>
        </is>
      </c>
      <c r="H15" s="6" t="inlineStr">
        <is>
          <t>13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2023-09-30</t>
        </is>
      </c>
      <c r="N15" s="6" t="inlineStr">
        <is>
          <t>2023-09-01</t>
        </is>
      </c>
      <c r="O15" s="6" t="inlineStr">
        <is>
          <t>—</t>
        </is>
      </c>
      <c r="P15" s="6" t="inlineStr">
        <is>
          <t>—</t>
        </is>
      </c>
      <c r="Q15" s="6" t="inlineStr">
        <is>
          <t>—</t>
        </is>
      </c>
      <c r="R15" s="6" t="inlineStr">
        <is>
          <t>—</t>
        </is>
      </c>
      <c r="S15" s="6" t="inlineStr">
        <is>
          <t>—</t>
        </is>
      </c>
      <c r="T15" s="6" t="inlineStr">
        <is>
          <t>0</t>
        </is>
      </c>
      <c r="U15" s="6" t="inlineStr">
        <is>
          <t>0</t>
        </is>
      </c>
      <c r="V15" s="6" t="inlineStr">
        <is>
          <t>000000</t>
        </is>
      </c>
    </row>
    <row r="16">
      <c r="A16" s="16" t="inlineStr">
        <is>
          <t>20798</t>
        </is>
      </c>
      <c r="B16" s="16" t="inlineStr">
        <is>
          <t>7727000010</t>
        </is>
      </c>
      <c r="C16" s="16" t="inlineStr">
        <is>
          <t>1031718692</t>
        </is>
      </c>
      <c r="D16" s="16" t="inlineStr">
        <is>
          <t>2026-06-04</t>
        </is>
      </c>
      <c r="E16" s="16" t="inlineStr">
        <is>
          <t>Active</t>
        </is>
      </c>
      <c r="F16" s="16" t="inlineStr">
        <is>
          <t>BK13</t>
        </is>
      </c>
      <c r="G16" s="16" t="inlineStr">
        <is>
          <t>2024-02-06</t>
        </is>
      </c>
      <c r="H16" s="16" t="inlineStr">
        <is>
          <t>13</t>
        </is>
      </c>
      <c r="I16" s="16" t="inlineStr">
        <is>
          <t>—</t>
        </is>
      </c>
      <c r="J16" s="16" t="inlineStr">
        <is>
          <t>—</t>
        </is>
      </c>
      <c r="K16" s="16" t="inlineStr">
        <is>
          <t>—</t>
        </is>
      </c>
      <c r="L16" s="16" t="inlineStr">
        <is>
          <t>—</t>
        </is>
      </c>
      <c r="M16" s="16" t="inlineStr">
        <is>
          <t>2023-09-30</t>
        </is>
      </c>
      <c r="N16" s="16" t="inlineStr">
        <is>
          <t>2026-06-01</t>
        </is>
      </c>
      <c r="O16" s="16" t="inlineStr">
        <is>
          <t>—</t>
        </is>
      </c>
      <c r="P16" s="16" t="inlineStr">
        <is>
          <t>—</t>
        </is>
      </c>
      <c r="Q16" s="16" t="inlineStr">
        <is>
          <t>—</t>
        </is>
      </c>
      <c r="R16" s="16" t="inlineStr">
        <is>
          <t>—</t>
        </is>
      </c>
      <c r="S16" s="16" t="inlineStr">
        <is>
          <t>—</t>
        </is>
      </c>
      <c r="T16" s="16" t="inlineStr">
        <is>
          <t>0</t>
        </is>
      </c>
      <c r="U16" s="16" t="inlineStr">
        <is>
          <t>0</t>
        </is>
      </c>
      <c r="V16" s="16" t="inlineStr">
        <is>
          <t>000000</t>
        </is>
      </c>
    </row>
    <row r="17">
      <c r="A17" s="6" t="inlineStr">
        <is>
          <t>20800</t>
        </is>
      </c>
      <c r="B17" s="6" t="inlineStr">
        <is>
          <t>7727000065</t>
        </is>
      </c>
      <c r="C17" s="6" t="inlineStr">
        <is>
          <t>1031718621</t>
        </is>
      </c>
      <c r="D17" s="6" t="inlineStr">
        <is>
          <t>2026-06-04</t>
        </is>
      </c>
      <c r="E17" s="6" t="inlineStr">
        <is>
          <t>Discharged</t>
        </is>
      </c>
      <c r="F17" s="6" t="inlineStr">
        <is>
          <t>REO</t>
        </is>
      </c>
      <c r="G17" s="6" t="inlineStr">
        <is>
          <t>2025-04-30</t>
        </is>
      </c>
      <c r="H17" s="6" t="inlineStr">
        <is>
          <t>7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6" t="inlineStr">
        <is>
          <t>—</t>
        </is>
      </c>
      <c r="R17" s="6" t="inlineStr">
        <is>
          <t>—</t>
        </is>
      </c>
      <c r="S17" s="6" t="inlineStr">
        <is>
          <t>—</t>
        </is>
      </c>
      <c r="T17" s="6" t="inlineStr">
        <is>
          <t>0</t>
        </is>
      </c>
      <c r="U17" s="6" t="inlineStr">
        <is>
          <t>0</t>
        </is>
      </c>
      <c r="V17" s="6" t="inlineStr">
        <is>
          <t>000000</t>
        </is>
      </c>
    </row>
  </sheetData>
  <mergeCells count="13">
    <mergeCell ref="A2:V2"/>
    <mergeCell ref="A10:V10"/>
    <mergeCell ref="A13:V13"/>
    <mergeCell ref="A11:V11"/>
    <mergeCell ref="A5:V5"/>
    <mergeCell ref="A1:V1"/>
    <mergeCell ref="A8:V8"/>
    <mergeCell ref="A6:V6"/>
    <mergeCell ref="A9:V9"/>
    <mergeCell ref="A3:V3"/>
    <mergeCell ref="A12:V12"/>
    <mergeCell ref="A4:V4"/>
    <mergeCell ref="A7:V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16" customWidth="1" min="3" max="3"/>
  </cols>
  <sheetData>
    <row r="1" ht="20" customHeight="1">
      <c r="A1" s="11" t="inlineStr">
        <is>
          <t>newrez.portnewrezdatadic — FCL 解码字典（仅列 5 样例贷款用到的码）</t>
        </is>
      </c>
    </row>
    <row r="2">
      <c r="A2" s="13" t="inlineStr">
        <is>
          <t>字典在 redshift_prod.newrez.portnewrezdatadic（列 package/module_name/appendix/field_name/code/description）。本表只列 5 样例贷款实际出现的码（其原始整数码见各 Newrez 源 sheet）；各字段完整字典见 docs/foreclosure_data_dictionary.md 表26。解码 JOIN：basic_data_pool_config.py:835-840(LM)/:367(BK)。prod 实测 2026-06-04。</t>
        </is>
      </c>
    </row>
    <row r="3" ht="56" customHeight="1">
      <c r="A3" s="14" t="inlineStr">
        <is>
          <t>查询 SQL（prod 只读）：
-- redshift_prod.newrez.portnewrezdatadic（FCL 解码字段）
SELECT field_name, code, description FROM newrez.portnewrezdatadic
WHERE (module_name='LossMitigation' AND field_name IN
       ('LMDeal','LMProgram','LMStatus','LMDecision','DenialReason','BorrowerIntention'))
   OR (module_name='Bankruptcy' AND field_name IN ('BKStatus','BKStage'));</t>
        </is>
      </c>
    </row>
    <row r="4" ht="20" customHeight="1">
      <c r="A4" s="4" t="inlineStr">
        <is>
          <t>LMDeal ← newrez.portnewrezlm.lmdeal（LossMitigation；字典 13 码 · prod 8 码 · 本5贷款 6 码）</t>
        </is>
      </c>
    </row>
    <row r="5">
      <c r="A5" s="5" t="inlineStr">
        <is>
          <t>编码</t>
        </is>
      </c>
      <c r="B5" s="5" t="inlineStr">
        <is>
          <t>解码（description）</t>
        </is>
      </c>
      <c r="C5" s="5" t="inlineStr">
        <is>
          <t>模块</t>
        </is>
      </c>
    </row>
    <row r="6">
      <c r="A6" s="17" t="inlineStr">
        <is>
          <t>1</t>
        </is>
      </c>
      <c r="B6" s="6" t="inlineStr">
        <is>
          <t>Modification</t>
        </is>
      </c>
      <c r="C6" s="6" t="inlineStr">
        <is>
          <t>LossMitigation</t>
        </is>
      </c>
    </row>
    <row r="7">
      <c r="A7" s="18" t="inlineStr">
        <is>
          <t>2</t>
        </is>
      </c>
      <c r="B7" s="16" t="inlineStr">
        <is>
          <t>Evaluation</t>
        </is>
      </c>
      <c r="C7" s="16" t="inlineStr">
        <is>
          <t>LossMitigation</t>
        </is>
      </c>
    </row>
    <row r="8">
      <c r="A8" s="17" t="inlineStr">
        <is>
          <t>4</t>
        </is>
      </c>
      <c r="B8" s="6" t="inlineStr">
        <is>
          <t>Payment Plan</t>
        </is>
      </c>
      <c r="C8" s="6" t="inlineStr">
        <is>
          <t>LossMitigation</t>
        </is>
      </c>
    </row>
    <row r="9">
      <c r="A9" s="18" t="inlineStr">
        <is>
          <t>5</t>
        </is>
      </c>
      <c r="B9" s="16" t="inlineStr">
        <is>
          <t>Forbearance</t>
        </is>
      </c>
      <c r="C9" s="16" t="inlineStr">
        <is>
          <t>LossMitigation</t>
        </is>
      </c>
    </row>
    <row r="10">
      <c r="A10" s="17" t="inlineStr">
        <is>
          <t>6</t>
        </is>
      </c>
      <c r="B10" s="6" t="inlineStr">
        <is>
          <t>Short Sale</t>
        </is>
      </c>
      <c r="C10" s="6" t="inlineStr">
        <is>
          <t>LossMitigation</t>
        </is>
      </c>
    </row>
    <row r="11">
      <c r="A11" s="18" t="inlineStr">
        <is>
          <t>7</t>
        </is>
      </c>
      <c r="B11" s="16" t="inlineStr">
        <is>
          <t>DIL</t>
        </is>
      </c>
      <c r="C11" s="16" t="inlineStr">
        <is>
          <t>LossMitigation</t>
        </is>
      </c>
    </row>
    <row r="12" ht="20" customHeight="1">
      <c r="A12" s="4" t="inlineStr">
        <is>
          <t>LMProgram ← newrez.portnewrezlm.lmprogram（LossMitigation；字典 388 码 · prod 22 码 · 本5贷款 9 码）</t>
        </is>
      </c>
    </row>
    <row r="13">
      <c r="A13" s="5" t="inlineStr">
        <is>
          <t>编码</t>
        </is>
      </c>
      <c r="B13" s="5" t="inlineStr">
        <is>
          <t>解码（description）</t>
        </is>
      </c>
      <c r="C13" s="5" t="inlineStr">
        <is>
          <t>模块</t>
        </is>
      </c>
    </row>
    <row r="14">
      <c r="A14" s="17" t="inlineStr">
        <is>
          <t>8</t>
        </is>
      </c>
      <c r="B14" s="6" t="inlineStr">
        <is>
          <t>Short Sale</t>
        </is>
      </c>
      <c r="C14" s="6" t="inlineStr">
        <is>
          <t>LossMitigation</t>
        </is>
      </c>
    </row>
    <row r="15">
      <c r="A15" s="18" t="inlineStr">
        <is>
          <t>10</t>
        </is>
      </c>
      <c r="B15" s="16" t="inlineStr">
        <is>
          <t>Deed-in-Lieu</t>
        </is>
      </c>
      <c r="C15" s="16" t="inlineStr">
        <is>
          <t>LossMitigation</t>
        </is>
      </c>
    </row>
    <row r="16">
      <c r="A16" s="17" t="inlineStr">
        <is>
          <t>12</t>
        </is>
      </c>
      <c r="B16" s="6" t="inlineStr">
        <is>
          <t>Short-term Forbearance</t>
        </is>
      </c>
      <c r="C16" s="6" t="inlineStr">
        <is>
          <t>LossMitigation</t>
        </is>
      </c>
    </row>
    <row r="17">
      <c r="A17" s="18" t="inlineStr">
        <is>
          <t>14</t>
        </is>
      </c>
      <c r="B17" s="16" t="inlineStr">
        <is>
          <t>Unemployment Forbearance</t>
        </is>
      </c>
      <c r="C17" s="16" t="inlineStr">
        <is>
          <t>LossMitigation</t>
        </is>
      </c>
    </row>
    <row r="18">
      <c r="A18" s="17" t="inlineStr">
        <is>
          <t>21</t>
        </is>
      </c>
      <c r="B18" s="6" t="inlineStr">
        <is>
          <t>Evaluation</t>
        </is>
      </c>
      <c r="C18" s="6" t="inlineStr">
        <is>
          <t>LossMitigation</t>
        </is>
      </c>
    </row>
    <row r="19">
      <c r="A19" s="18" t="inlineStr">
        <is>
          <t>29</t>
        </is>
      </c>
      <c r="B19" s="16" t="inlineStr">
        <is>
          <t>Repayment Plan</t>
        </is>
      </c>
      <c r="C19" s="16" t="inlineStr">
        <is>
          <t>LossMitigation</t>
        </is>
      </c>
    </row>
    <row r="20">
      <c r="A20" s="17" t="inlineStr">
        <is>
          <t>419</t>
        </is>
      </c>
      <c r="B20" s="6" t="inlineStr">
        <is>
          <t>Bridger mod</t>
        </is>
      </c>
      <c r="C20" s="6" t="inlineStr">
        <is>
          <t>LossMitigation</t>
        </is>
      </c>
    </row>
    <row r="21">
      <c r="A21" s="18" t="inlineStr">
        <is>
          <t>496</t>
        </is>
      </c>
      <c r="B21" s="16" t="inlineStr">
        <is>
          <t>（字典无此码）</t>
        </is>
      </c>
      <c r="C21" s="16" t="inlineStr">
        <is>
          <t>LossMitigation</t>
        </is>
      </c>
    </row>
    <row r="22">
      <c r="A22" s="17" t="inlineStr">
        <is>
          <t>498</t>
        </is>
      </c>
      <c r="B22" s="6" t="inlineStr">
        <is>
          <t>（字典无此码）</t>
        </is>
      </c>
      <c r="C22" s="6" t="inlineStr">
        <is>
          <t>LossMitigation</t>
        </is>
      </c>
    </row>
    <row r="23" ht="20" customHeight="1">
      <c r="A23" s="4" t="inlineStr">
        <is>
          <t>LMStatus ← newrez.portnewrezlm.lmstatus（LossMitigation；字典 149 码 · prod 16 码 · 本5贷款 18 码）</t>
        </is>
      </c>
    </row>
    <row r="24">
      <c r="A24" s="5" t="inlineStr">
        <is>
          <t>编码</t>
        </is>
      </c>
      <c r="B24" s="5" t="inlineStr">
        <is>
          <t>解码（description）</t>
        </is>
      </c>
      <c r="C24" s="5" t="inlineStr">
        <is>
          <t>模块</t>
        </is>
      </c>
    </row>
    <row r="25">
      <c r="A25" s="17" t="inlineStr">
        <is>
          <t>5</t>
        </is>
      </c>
      <c r="B25" s="6" t="inlineStr">
        <is>
          <t>Document Follow-up</t>
        </is>
      </c>
      <c r="C25" s="6" t="inlineStr">
        <is>
          <t>LossMitigation</t>
        </is>
      </c>
    </row>
    <row r="26">
      <c r="A26" s="18" t="inlineStr">
        <is>
          <t>10</t>
        </is>
      </c>
      <c r="B26" s="16" t="inlineStr">
        <is>
          <t>Underwriting Review</t>
        </is>
      </c>
      <c r="C26" s="16" t="inlineStr">
        <is>
          <t>LossMitigation</t>
        </is>
      </c>
    </row>
    <row r="27">
      <c r="A27" s="17" t="inlineStr">
        <is>
          <t>11</t>
        </is>
      </c>
      <c r="B27" s="6" t="inlineStr">
        <is>
          <t>Underwriting Review Complete</t>
        </is>
      </c>
      <c r="C27" s="6" t="inlineStr">
        <is>
          <t>LossMitigation</t>
        </is>
      </c>
    </row>
    <row r="28">
      <c r="A28" s="18" t="inlineStr">
        <is>
          <t>13</t>
        </is>
      </c>
      <c r="B28" s="16" t="inlineStr">
        <is>
          <t>Follow up for 1st Trial Payment</t>
        </is>
      </c>
      <c r="C28" s="16" t="inlineStr">
        <is>
          <t>LossMitigation</t>
        </is>
      </c>
    </row>
    <row r="29">
      <c r="A29" s="17" t="inlineStr">
        <is>
          <t>24</t>
        </is>
      </c>
      <c r="B29" s="6" t="inlineStr">
        <is>
          <t>Awaiting investor approval</t>
        </is>
      </c>
      <c r="C29" s="6" t="inlineStr">
        <is>
          <t>LossMitigation</t>
        </is>
      </c>
    </row>
    <row r="30">
      <c r="A30" s="18" t="inlineStr">
        <is>
          <t>25</t>
        </is>
      </c>
      <c r="B30" s="16" t="inlineStr">
        <is>
          <t>Monitor for pmts/funds</t>
        </is>
      </c>
      <c r="C30" s="16" t="inlineStr">
        <is>
          <t>LossMitigation</t>
        </is>
      </c>
    </row>
    <row r="31">
      <c r="A31" s="17" t="inlineStr">
        <is>
          <t>44</t>
        </is>
      </c>
      <c r="B31" s="6" t="inlineStr">
        <is>
          <t>Submitted for Approval</t>
        </is>
      </c>
      <c r="C31" s="6" t="inlineStr">
        <is>
          <t>LossMitigation</t>
        </is>
      </c>
    </row>
    <row r="32">
      <c r="A32" s="18" t="inlineStr">
        <is>
          <t>45</t>
        </is>
      </c>
      <c r="B32" s="16" t="inlineStr">
        <is>
          <t>Countered by Supervisor</t>
        </is>
      </c>
      <c r="C32" s="16" t="inlineStr">
        <is>
          <t>LossMitigation</t>
        </is>
      </c>
    </row>
    <row r="33">
      <c r="A33" s="17" t="inlineStr">
        <is>
          <t>48</t>
        </is>
      </c>
      <c r="B33" s="6" t="inlineStr">
        <is>
          <t>Underwriting Follow Up Required</t>
        </is>
      </c>
      <c r="C33" s="6" t="inlineStr">
        <is>
          <t>LossMitigation</t>
        </is>
      </c>
    </row>
    <row r="34">
      <c r="A34" s="18" t="inlineStr">
        <is>
          <t>101</t>
        </is>
      </c>
      <c r="B34" s="16" t="inlineStr">
        <is>
          <t>Resubmitted to Underwriting</t>
        </is>
      </c>
      <c r="C34" s="16" t="inlineStr">
        <is>
          <t>LossMitigation</t>
        </is>
      </c>
    </row>
    <row r="35">
      <c r="A35" s="17" t="inlineStr">
        <is>
          <t>104</t>
        </is>
      </c>
      <c r="B35" s="6" t="inlineStr">
        <is>
          <t>Awaiting MI Approval</t>
        </is>
      </c>
      <c r="C35" s="6" t="inlineStr">
        <is>
          <t>LossMitigation</t>
        </is>
      </c>
    </row>
    <row r="36">
      <c r="A36" s="18" t="inlineStr">
        <is>
          <t>112</t>
        </is>
      </c>
      <c r="B36" s="16" t="inlineStr">
        <is>
          <t>Workout Denial</t>
        </is>
      </c>
      <c r="C36" s="16" t="inlineStr">
        <is>
          <t>LossMitigation</t>
        </is>
      </c>
    </row>
    <row r="37">
      <c r="A37" s="17" t="inlineStr">
        <is>
          <t>113</t>
        </is>
      </c>
      <c r="B37" s="6" t="inlineStr">
        <is>
          <t>Monitor Forbearance</t>
        </is>
      </c>
      <c r="C37" s="6" t="inlineStr">
        <is>
          <t>LossMitigation</t>
        </is>
      </c>
    </row>
    <row r="38">
      <c r="A38" s="18" t="inlineStr">
        <is>
          <t>126</t>
        </is>
      </c>
      <c r="B38" s="16" t="inlineStr">
        <is>
          <t>DIL Title Ordered</t>
        </is>
      </c>
      <c r="C38" s="16" t="inlineStr">
        <is>
          <t>LossMitigation</t>
        </is>
      </c>
    </row>
    <row r="39">
      <c r="A39" s="17" t="inlineStr">
        <is>
          <t>127</t>
        </is>
      </c>
      <c r="B39" s="6" t="inlineStr">
        <is>
          <t>Negotiate DIL liens</t>
        </is>
      </c>
      <c r="C39" s="6" t="inlineStr">
        <is>
          <t>LossMitigation</t>
        </is>
      </c>
    </row>
    <row r="40">
      <c r="A40" s="18" t="inlineStr">
        <is>
          <t>128</t>
        </is>
      </c>
      <c r="B40" s="16" t="inlineStr">
        <is>
          <t>DIL Agreement Ordered</t>
        </is>
      </c>
      <c r="C40" s="16" t="inlineStr">
        <is>
          <t>LossMitigation</t>
        </is>
      </c>
    </row>
    <row r="41">
      <c r="A41" s="17" t="inlineStr">
        <is>
          <t>166</t>
        </is>
      </c>
      <c r="B41" s="6" t="inlineStr">
        <is>
          <t xml:space="preserve">Pending Financials </t>
        </is>
      </c>
      <c r="C41" s="6" t="inlineStr">
        <is>
          <t>LossMitigation</t>
        </is>
      </c>
    </row>
    <row r="42">
      <c r="A42" s="18" t="inlineStr">
        <is>
          <t>172</t>
        </is>
      </c>
      <c r="B42" s="16" t="inlineStr">
        <is>
          <t>Liquidation Referral</t>
        </is>
      </c>
      <c r="C42" s="16" t="inlineStr">
        <is>
          <t>LossMitigation</t>
        </is>
      </c>
    </row>
    <row r="43" ht="20" customHeight="1">
      <c r="A43" s="4" t="inlineStr">
        <is>
          <t>LMDecision ← newrez.portnewrezlm.lmdecision（LossMitigation；字典 23 码 · prod 13 码 · 本5贷款 5 码）</t>
        </is>
      </c>
    </row>
    <row r="44">
      <c r="A44" s="5" t="inlineStr">
        <is>
          <t>编码</t>
        </is>
      </c>
      <c r="B44" s="5" t="inlineStr">
        <is>
          <t>解码（description）</t>
        </is>
      </c>
      <c r="C44" s="5" t="inlineStr">
        <is>
          <t>模块</t>
        </is>
      </c>
    </row>
    <row r="45">
      <c r="A45" s="17" t="inlineStr">
        <is>
          <t>4</t>
        </is>
      </c>
      <c r="B45" s="6" t="inlineStr">
        <is>
          <t>Forbearance Complete</t>
        </is>
      </c>
      <c r="C45" s="6" t="inlineStr">
        <is>
          <t>LossMitigation</t>
        </is>
      </c>
    </row>
    <row r="46">
      <c r="A46" s="18" t="inlineStr">
        <is>
          <t>6</t>
        </is>
      </c>
      <c r="B46" s="16" t="inlineStr">
        <is>
          <t>Referral to FC</t>
        </is>
      </c>
      <c r="C46" s="16" t="inlineStr">
        <is>
          <t>LossMitigation</t>
        </is>
      </c>
    </row>
    <row r="47">
      <c r="A47" s="17" t="inlineStr">
        <is>
          <t>10</t>
        </is>
      </c>
      <c r="B47" s="6" t="inlineStr">
        <is>
          <t>Request Incomplete/Failed to Provide Information</t>
        </is>
      </c>
      <c r="C47" s="6" t="inlineStr">
        <is>
          <t>LossMitigation</t>
        </is>
      </c>
    </row>
    <row r="48">
      <c r="A48" s="18" t="inlineStr">
        <is>
          <t>11</t>
        </is>
      </c>
      <c r="B48" s="16" t="inlineStr">
        <is>
          <t>LMS Opened in Error</t>
        </is>
      </c>
      <c r="C48" s="16" t="inlineStr">
        <is>
          <t>LossMitigation</t>
        </is>
      </c>
    </row>
    <row r="49">
      <c r="A49" s="17" t="inlineStr">
        <is>
          <t>99</t>
        </is>
      </c>
      <c r="B49" s="6" t="inlineStr">
        <is>
          <t>Pending</t>
        </is>
      </c>
      <c r="C49" s="6" t="inlineStr">
        <is>
          <t>LossMitigation</t>
        </is>
      </c>
    </row>
    <row r="50" ht="20" customHeight="1">
      <c r="A50" s="4" t="inlineStr">
        <is>
          <t>DenialReason ← newrez.portnewrezlm.denialreason（LossMitigation；字典 130 码 · prod 19 码 · 本5贷款 6 码）</t>
        </is>
      </c>
    </row>
    <row r="51">
      <c r="A51" s="5" t="inlineStr">
        <is>
          <t>编码</t>
        </is>
      </c>
      <c r="B51" s="5" t="inlineStr">
        <is>
          <t>解码（description）</t>
        </is>
      </c>
      <c r="C51" s="5" t="inlineStr">
        <is>
          <t>模块</t>
        </is>
      </c>
    </row>
    <row r="52">
      <c r="A52" s="17" t="inlineStr">
        <is>
          <t>2</t>
        </is>
      </c>
      <c r="B52" s="6" t="inlineStr">
        <is>
          <t>Trial Plan Default</t>
        </is>
      </c>
      <c r="C52" s="6" t="inlineStr">
        <is>
          <t>LossMitigation</t>
        </is>
      </c>
    </row>
    <row r="53">
      <c r="A53" s="18" t="inlineStr">
        <is>
          <t>4</t>
        </is>
      </c>
      <c r="B53" s="16" t="inlineStr">
        <is>
          <t>Withdrawal of Request/Non-Acceptance</t>
        </is>
      </c>
      <c r="C53" s="16" t="inlineStr">
        <is>
          <t>LossMitigation</t>
        </is>
      </c>
    </row>
    <row r="54">
      <c r="A54" s="17" t="inlineStr">
        <is>
          <t>21</t>
        </is>
      </c>
      <c r="B54" s="6" t="inlineStr">
        <is>
          <t>Request Incomplete/Failed to Provide Documentation</t>
        </is>
      </c>
      <c r="C54" s="6" t="inlineStr">
        <is>
          <t>LossMitigation</t>
        </is>
      </c>
    </row>
    <row r="55">
      <c r="A55" s="18" t="inlineStr">
        <is>
          <t>40</t>
        </is>
      </c>
      <c r="B55" s="16" t="inlineStr">
        <is>
          <t>PMI Company Decline</t>
        </is>
      </c>
      <c r="C55" s="16" t="inlineStr">
        <is>
          <t>LossMitigation</t>
        </is>
      </c>
    </row>
    <row r="56">
      <c r="A56" s="17" t="inlineStr">
        <is>
          <t>76</t>
        </is>
      </c>
      <c r="B56" s="6" t="inlineStr">
        <is>
          <t>HAMP Sunset</t>
        </is>
      </c>
      <c r="C56" s="6" t="inlineStr">
        <is>
          <t>LossMitigation</t>
        </is>
      </c>
    </row>
    <row r="57">
      <c r="A57" s="18" t="inlineStr">
        <is>
          <t>124</t>
        </is>
      </c>
      <c r="B57" s="16" t="inlineStr">
        <is>
          <t>Hardship not resolved</t>
        </is>
      </c>
      <c r="C57" s="16" t="inlineStr">
        <is>
          <t>LossMitigation</t>
        </is>
      </c>
    </row>
    <row r="58" ht="20" customHeight="1">
      <c r="A58" s="4" t="inlineStr">
        <is>
          <t>BorrowerIntention ← newrez.portnewrezlm.borrowerintention（LossMitigation；字典 3 码 · prod 2 码 · 本5贷款 1 码）</t>
        </is>
      </c>
    </row>
    <row r="59">
      <c r="A59" s="5" t="inlineStr">
        <is>
          <t>编码</t>
        </is>
      </c>
      <c r="B59" s="5" t="inlineStr">
        <is>
          <t>解码（description）</t>
        </is>
      </c>
      <c r="C59" s="5" t="inlineStr">
        <is>
          <t>模块</t>
        </is>
      </c>
    </row>
    <row r="60">
      <c r="A60" s="17" t="inlineStr">
        <is>
          <t>2</t>
        </is>
      </c>
      <c r="B60" s="6" t="inlineStr">
        <is>
          <t>Retention</t>
        </is>
      </c>
      <c r="C60" s="6" t="inlineStr">
        <is>
          <t>LossMitigation</t>
        </is>
      </c>
    </row>
    <row r="61" ht="20" customHeight="1">
      <c r="A61" s="4" t="inlineStr">
        <is>
          <t>BKStatus ← newrez.portnewrezbk.bkstatus（Bankruptcy；字典 5 码 · prod 5 码 · 本5贷款 4 码）</t>
        </is>
      </c>
    </row>
    <row r="62">
      <c r="A62" s="5" t="inlineStr">
        <is>
          <t>编码</t>
        </is>
      </c>
      <c r="B62" s="5" t="inlineStr">
        <is>
          <t>解码（description）</t>
        </is>
      </c>
      <c r="C62" s="5" t="inlineStr">
        <is>
          <t>模块</t>
        </is>
      </c>
    </row>
    <row r="63">
      <c r="A63" s="17" t="inlineStr">
        <is>
          <t>1</t>
        </is>
      </c>
      <c r="B63" s="6" t="inlineStr">
        <is>
          <t>Active</t>
        </is>
      </c>
      <c r="C63" s="6" t="inlineStr">
        <is>
          <t>Bankruptcy</t>
        </is>
      </c>
    </row>
    <row r="64">
      <c r="A64" s="18" t="inlineStr">
        <is>
          <t>2</t>
        </is>
      </c>
      <c r="B64" s="16" t="inlineStr">
        <is>
          <t>Discharged</t>
        </is>
      </c>
      <c r="C64" s="16" t="inlineStr">
        <is>
          <t>Bankruptcy</t>
        </is>
      </c>
    </row>
    <row r="65">
      <c r="A65" s="17" t="inlineStr">
        <is>
          <t>4</t>
        </is>
      </c>
      <c r="B65" s="6" t="inlineStr">
        <is>
          <t>Closed</t>
        </is>
      </c>
      <c r="C65" s="6" t="inlineStr">
        <is>
          <t>Bankruptcy</t>
        </is>
      </c>
    </row>
    <row r="66">
      <c r="A66" s="18" t="inlineStr">
        <is>
          <t>5</t>
        </is>
      </c>
      <c r="B66" s="16" t="inlineStr">
        <is>
          <t>ReliefGranted</t>
        </is>
      </c>
      <c r="C66" s="16" t="inlineStr">
        <is>
          <t>Bankruptcy</t>
        </is>
      </c>
    </row>
    <row r="67" ht="20" customHeight="1">
      <c r="A67" s="4" t="inlineStr">
        <is>
          <t>BKStage ← newrez.portnewrezbk.bkstage（Bankruptcy；字典 22 码 · prod 6 码 · 本5贷款 6 码）</t>
        </is>
      </c>
    </row>
    <row r="68" ht="30" customHeight="1">
      <c r="A68" s="35" t="inlineStr">
        <is>
          <t>📋 业务含义与全链路血缘  〔自动生成·勿手改本块；改 outputs/fcl_table_meta.json 后重跑〕</t>
        </is>
      </c>
    </row>
    <row r="69" ht="60" customHeight="1">
      <c r="A69" s="36" t="inlineStr">
        <is>
          <t>业务含义/目的：Newrez FCL 解码字典(8 列)——把 LM/BK 等编码(LMDeal/LMProgram/LMStatus/LMDecision/BKStatus 等)映射成业务文案。 给 LM/BK 等表的编码解码提供查找表。</t>
        </is>
      </c>
    </row>
    <row r="70" ht="18" customHeight="1">
      <c r="A70" s="36" t="inlineStr">
        <is>
          <t>何时来查：查某编码的业务含义、核对解码是否正确。</t>
        </is>
      </c>
    </row>
    <row r="71" ht="30" customHeight="1">
      <c r="A71" s="36" t="inlineStr">
        <is>
          <t>为什么这样处理：源表存编码省空间，展示需文案；统一一张字典 JOIN 解码(COALESCE(dict_desc, raw_code))。</t>
        </is>
      </c>
    </row>
    <row r="72" ht="18" customHeight="1">
      <c r="A72" s="36" t="inlineStr">
        <is>
          <t>数据粒度：1 行/(field_name, code)。</t>
        </is>
      </c>
    </row>
    <row r="73" ht="30" customHeight="1">
      <c r="A73" s="36" t="inlineStr">
        <is>
          <t>上游链路：Servicer(Newrez) 文件(L0) → newrez.portnewrezdatadic</t>
        </is>
      </c>
    </row>
    <row r="74" ht="18" customHeight="1">
      <c r="A74" s="36" t="inlineStr">
        <is>
          <t>全部上游表：Servicer 文件(S3, L0)</t>
        </is>
      </c>
    </row>
    <row r="75" ht="90" customHeight="1">
      <c r="A75" s="36" t="inlineStr">
        <is>
          <t>下游链路：⋈ basic_data_pool_config.py(LM :835-840 / BK :367) → port.basic_data_loan_foreclosure_loss_mitigation / _bankruptcy(解码列) → bpms.sync_loan_foreclosure_loss_mitigation / _bankruptcy → 视图 → BPS</t>
        </is>
      </c>
    </row>
    <row r="76" ht="75" customHeight="1">
      <c r="A76" s="36" t="inlineStr">
        <is>
          <t>全部下游表：port.basic_data_loan_foreclosure_loss_mitigation、port.basic_data_loan_foreclosure_bankruptcy、bpms.sync_loan_foreclosure_loss_mitigation、bpms.sync_loan_foreclosure_bankruptcy</t>
        </is>
      </c>
    </row>
    <row r="77" ht="18" customHeight="1">
      <c r="A77" s="37" t="inlineStr">
        <is>
          <t>▲ 以上为「业务含义与全链路血缘」说明块；下方为原始数据 ────</t>
        </is>
      </c>
    </row>
    <row r="78">
      <c r="A78" s="5" t="inlineStr">
        <is>
          <t>编码</t>
        </is>
      </c>
      <c r="B78" s="5" t="inlineStr">
        <is>
          <t>解码（description）</t>
        </is>
      </c>
      <c r="C78" s="5" t="inlineStr">
        <is>
          <t>模块</t>
        </is>
      </c>
    </row>
    <row r="79">
      <c r="A79" s="17" t="inlineStr">
        <is>
          <t>1</t>
        </is>
      </c>
      <c r="B79" s="6" t="inlineStr">
        <is>
          <t>Received</t>
        </is>
      </c>
      <c r="C79" s="6" t="inlineStr">
        <is>
          <t>Bankruptcy</t>
        </is>
      </c>
    </row>
    <row r="80">
      <c r="A80" s="18" t="inlineStr">
        <is>
          <t>4</t>
        </is>
      </c>
      <c r="B80" s="16" t="inlineStr">
        <is>
          <t>Confirmation</t>
        </is>
      </c>
      <c r="C80" s="16" t="inlineStr">
        <is>
          <t>Bankruptcy</t>
        </is>
      </c>
    </row>
    <row r="81">
      <c r="A81" s="17" t="inlineStr">
        <is>
          <t>8</t>
        </is>
      </c>
      <c r="B81" s="6" t="inlineStr">
        <is>
          <t>Discharged</t>
        </is>
      </c>
      <c r="C81" s="6" t="inlineStr">
        <is>
          <t>Bankruptcy</t>
        </is>
      </c>
    </row>
    <row r="82">
      <c r="A82" s="18" t="inlineStr">
        <is>
          <t>13</t>
        </is>
      </c>
      <c r="B82" s="16" t="inlineStr">
        <is>
          <t>Transfer of Claim</t>
        </is>
      </c>
      <c r="C82" s="16" t="inlineStr">
        <is>
          <t>Bankruptcy</t>
        </is>
      </c>
    </row>
    <row r="83">
      <c r="A83" s="17" t="inlineStr">
        <is>
          <t>17</t>
        </is>
      </c>
      <c r="B83" s="6" t="inlineStr">
        <is>
          <t>Termination</t>
        </is>
      </c>
      <c r="C83" s="6" t="inlineStr">
        <is>
          <t>Bankruptcy</t>
        </is>
      </c>
    </row>
    <row r="84">
      <c r="A84" s="18" t="inlineStr">
        <is>
          <t>21</t>
        </is>
      </c>
      <c r="B84" s="16" t="inlineStr">
        <is>
          <t>Motion to Determine Final Cure</t>
        </is>
      </c>
      <c r="C84" s="16" t="inlineStr">
        <is>
          <t>Bankruptcy</t>
        </is>
      </c>
    </row>
  </sheetData>
  <mergeCells count="21">
    <mergeCell ref="A75:C75"/>
    <mergeCell ref="A74:C74"/>
    <mergeCell ref="A3:C3"/>
    <mergeCell ref="A50:C50"/>
    <mergeCell ref="A12:C12"/>
    <mergeCell ref="A2:C2"/>
    <mergeCell ref="A76:C76"/>
    <mergeCell ref="A71:C71"/>
    <mergeCell ref="A23:C23"/>
    <mergeCell ref="A4:C4"/>
    <mergeCell ref="A43:C43"/>
    <mergeCell ref="A72:C72"/>
    <mergeCell ref="A68:C68"/>
    <mergeCell ref="A58:C58"/>
    <mergeCell ref="A67:C67"/>
    <mergeCell ref="A77:C77"/>
    <mergeCell ref="A73:C73"/>
    <mergeCell ref="A1:C1"/>
    <mergeCell ref="A61:C61"/>
    <mergeCell ref="A70:C70"/>
    <mergeCell ref="A69:C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2026-06-06T16:56:14Z</dcterms:created>
  <dcterms:modified xmlns:dcterms="http://purl.org/dc/terms/" xmlns:xsi="http://www.w3.org/2001/XMLSchema-instance" xsi:type="dcterms:W3CDTF">2026-06-07T02:01:47Z</dcterms:modified>
</cp:coreProperties>
</file>