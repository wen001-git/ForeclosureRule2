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90" yWindow="-110" windowWidth="38620" windowHeight="21100" tabRatio="600" firstSheet="0" activeTab="3" autoFilterDateGrouping="1"/>
  </bookViews>
  <sheets>
    <sheet xmlns:r="http://schemas.openxmlformats.org/officeDocument/2006/relationships" name="📖 阅读指南 Guide" sheetId="1" state="visible" r:id="rId1"/>
    <sheet xmlns:r="http://schemas.openxmlformats.org/officeDocument/2006/relationships" name="📚 术语说明 Glossary" sheetId="2" state="visible" r:id="rId2"/>
    <sheet xmlns:r="http://schemas.openxmlformats.org/officeDocument/2006/relationships" name="📊 总览 Overview" sheetId="3" state="visible" r:id="rId3"/>
    <sheet xmlns:r="http://schemas.openxmlformats.org/officeDocument/2006/relationships" name="📋 字段规范 Field Spec" sheetId="4" state="visible" r:id="rId4"/>
    <sheet xmlns:r="http://schemas.openxmlformats.org/officeDocument/2006/relationships" name="⚡ 行动清单 Action List" sheetId="5" state="visible" r:id="rId5"/>
    <sheet xmlns:r="http://schemas.openxmlformats.org/officeDocument/2006/relationships" name="🗂️ BPS面板索引 Panel Index" sheetId="6" state="visible" r:id="rId6"/>
    <sheet xmlns:r="http://schemas.openxmlformats.org/officeDocument/2006/relationships" name="🖥️ BPS显示映射 Display Map" sheetId="7" state="visible" r:id="rId7"/>
  </sheets>
  <definedNames>
    <definedName name="_xlnm._FilterDatabase" localSheetId="3" hidden="1">'📋 字段规范 Field Spec'!$A$1:$J$1</definedName>
    <definedName name="_xlnm._FilterDatabase" localSheetId="5" hidden="1">'🗂️ BPS面板索引 Panel Index'!$A$1:$E$1</definedName>
    <definedName name="_xlnm._FilterDatabase" localSheetId="6" hidden="1">'🖥️ BPS显示映射 Display Map'!$A$1:$G$1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i val="1"/>
      <color rgb="FF000000"/>
      <sz val="9"/>
    </font>
    <font>
      <name val="Calibri"/>
      <family val="2"/>
      <b val="1"/>
      <color rgb="FFFFFFFF"/>
      <sz val="10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ourier New"/>
      <family val="3"/>
      <b val="1"/>
      <color rgb="FF1F3864"/>
      <sz val="9"/>
    </font>
    <font>
      <name val="Courier New"/>
      <family val="3"/>
      <color rgb="FF444444"/>
      <sz val="8"/>
    </font>
    <font>
      <name val="Courier New"/>
      <family val="3"/>
      <b val="1"/>
      <sz val="9"/>
    </font>
    <font>
      <name val="Courier New"/>
      <family val="3"/>
      <color rgb="FF1F3864"/>
      <sz val="8"/>
    </font>
    <font>
      <name val="微软雅黑"/>
      <b val="1"/>
      <color rgb="FFFFFFFF"/>
      <sz val="16"/>
    </font>
    <font>
      <name val="微软雅黑"/>
      <b val="1"/>
      <color rgb="FFFFFFFF"/>
      <sz val="12"/>
    </font>
    <font>
      <name val="微软雅黑"/>
      <color rgb="FF1F1F1F"/>
      <sz val="11"/>
    </font>
    <font>
      <name val="微软雅黑"/>
      <b val="1"/>
      <color rgb="FFFFFFFF"/>
      <sz val="11"/>
    </font>
    <font>
      <name val="微软雅黑"/>
      <b val="1"/>
      <color rgb="FF1F1F1F"/>
      <sz val="11"/>
    </font>
    <font>
      <name val="微软雅黑"/>
      <color rgb="FF1F1F1F"/>
      <sz val="10"/>
    </font>
    <font>
      <name val="微软雅黑"/>
      <i val="1"/>
      <color rgb="FF808080"/>
      <sz val="9"/>
    </font>
    <font>
      <name val="微软雅黑"/>
      <b val="1"/>
      <color rgb="FFFFFFFF"/>
      <sz val="10"/>
    </font>
    <font>
      <name val="微软雅黑"/>
      <b val="1"/>
      <sz val="10"/>
    </font>
    <font>
      <name val="微软雅黑"/>
      <sz val="10"/>
    </font>
    <font>
      <name val="微软雅黑"/>
      <i val="1"/>
      <color rgb="FF595959"/>
      <sz val="10"/>
    </font>
    <font>
      <name val="微软雅黑"/>
      <sz val="9"/>
    </font>
    <font>
      <name val="微软雅黑"/>
      <b val="1"/>
      <color rgb="FFFFFFFF"/>
      <sz val="10"/>
    </font>
    <font>
      <name val="微软雅黑"/>
      <b val="1"/>
      <color rgb="FFFFFFFF"/>
      <sz val="14"/>
    </font>
    <font>
      <name val="微软雅黑"/>
      <i val="1"/>
      <color rgb="FF595959"/>
      <sz val="9"/>
    </font>
    <font>
      <name val="微软雅黑"/>
      <b val="1"/>
      <color rgb="FF1F3864"/>
      <sz val="10"/>
    </font>
    <font>
      <name val="微软雅黑"/>
      <b val="1"/>
      <color rgb="FF1F1F1F"/>
      <sz val="10"/>
    </font>
    <font>
      <name val="微软雅黑"/>
      <color rgb="FF1F1F1F"/>
      <sz val="10"/>
    </font>
    <font>
      <name val="微软雅黑"/>
      <i val="1"/>
      <color rgb="FFA0A0A0"/>
      <sz val="8"/>
    </font>
    <font>
      <name val="微软雅黑"/>
      <b val="1"/>
      <color rgb="FFFFFFFF"/>
      <sz val="10"/>
    </font>
    <font>
      <name val="Consolas"/>
      <family val="3"/>
      <sz val="8"/>
    </font>
    <font>
      <name val="Consolas"/>
      <family val="3"/>
      <sz val="8"/>
    </font>
    <font>
      <name val="微软雅黑"/>
      <b val="1"/>
      <color rgb="FFFFFFFF"/>
      <sz val="10"/>
    </font>
    <font>
      <name val="Consolas"/>
      <sz val="8"/>
    </font>
    <font>
      <name val="微软雅黑"/>
      <b val="1"/>
      <color rgb="00FFFFFF"/>
      <sz val="10"/>
    </font>
  </fonts>
  <fills count="33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F8F8F8"/>
      </patternFill>
    </fill>
    <fill>
      <patternFill patternType="solid">
        <fgColor rgb="FF4472C4"/>
      </patternFill>
    </fill>
    <fill>
      <patternFill patternType="solid">
        <fgColor rgb="FFFFDADA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FFE0E0"/>
      </patternFill>
    </fill>
    <fill>
      <patternFill patternType="solid">
        <fgColor rgb="FFFFF0D0"/>
      </patternFill>
    </fill>
    <fill>
      <patternFill patternType="solid">
        <fgColor rgb="FFE8F0FF"/>
      </patternFill>
    </fill>
    <fill>
      <patternFill patternType="solid">
        <fgColor rgb="FFC00000"/>
      </patternFill>
    </fill>
    <fill>
      <patternFill patternType="solid">
        <fgColor rgb="FFFFC000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CE4D6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7FBFF"/>
      </patternFill>
    </fill>
    <fill>
      <patternFill patternType="solid">
        <fgColor rgb="FFE2EFDA"/>
      </patternFill>
    </fill>
    <fill>
      <patternFill patternType="solid">
        <fgColor rgb="FFEBF3F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4E6FF"/>
      </patternFill>
    </fill>
    <fill>
      <patternFill patternType="solid">
        <fgColor rgb="FFE8F5E9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00385723"/>
      </patternFill>
    </fill>
    <fill>
      <patternFill patternType="solid">
        <fgColor rgb="002E75B6"/>
      </patternFill>
    </fill>
    <fill>
      <patternFill patternType="solid">
        <fgColor rgb="007030A0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3">
    <xf numFmtId="0" fontId="0" fillId="0" borderId="0" pivotButton="0" quotePrefix="0" xfId="0"/>
    <xf numFmtId="0" fontId="3" fillId="4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13" fillId="15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0" fontId="14" fillId="16" borderId="1" applyAlignment="1" pivotButton="0" quotePrefix="0" xfId="0">
      <alignment horizontal="center" vertical="center" wrapText="1"/>
    </xf>
    <xf numFmtId="0" fontId="15" fillId="16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left" vertical="center" wrapText="1"/>
    </xf>
    <xf numFmtId="0" fontId="15" fillId="16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5" fillId="17" borderId="1" applyAlignment="1" pivotButton="0" quotePrefix="0" xfId="0">
      <alignment horizontal="left" vertical="center" wrapText="1"/>
    </xf>
    <xf numFmtId="0" fontId="15" fillId="17" borderId="1" applyAlignment="1" pivotButton="0" quotePrefix="0" xfId="0">
      <alignment horizontal="center" vertical="center" wrapText="1"/>
    </xf>
    <xf numFmtId="0" fontId="13" fillId="14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center" vertical="center" wrapText="1"/>
    </xf>
    <xf numFmtId="0" fontId="17" fillId="15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left" vertical="center" wrapText="1"/>
    </xf>
    <xf numFmtId="0" fontId="18" fillId="7" borderId="1" applyAlignment="1" pivotButton="0" quotePrefix="0" xfId="0">
      <alignment horizontal="center" vertical="center"/>
    </xf>
    <xf numFmtId="0" fontId="19" fillId="7" borderId="1" applyAlignment="1" pivotButton="0" quotePrefix="0" xfId="0">
      <alignment horizontal="left" vertical="center" wrapText="1"/>
    </xf>
    <xf numFmtId="0" fontId="18" fillId="16" borderId="1" applyAlignment="1" pivotButton="0" quotePrefix="0" xfId="0">
      <alignment horizontal="center" vertical="center"/>
    </xf>
    <xf numFmtId="0" fontId="19" fillId="16" borderId="1" applyAlignment="1" pivotButton="0" quotePrefix="0" xfId="0">
      <alignment horizontal="left" vertical="center" wrapText="1"/>
    </xf>
    <xf numFmtId="0" fontId="17" fillId="15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left" vertical="center" wrapText="1"/>
    </xf>
    <xf numFmtId="0" fontId="21" fillId="10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left" vertical="center" wrapText="1"/>
    </xf>
    <xf numFmtId="0" fontId="22" fillId="18" borderId="4" applyAlignment="1" pivotButton="0" quotePrefix="0" xfId="0">
      <alignment horizontal="center" vertical="center"/>
    </xf>
    <xf numFmtId="0" fontId="26" fillId="21" borderId="4" applyAlignment="1" pivotButton="0" quotePrefix="0" xfId="0">
      <alignment horizontal="left" vertical="center" wrapText="1"/>
    </xf>
    <xf numFmtId="0" fontId="27" fillId="21" borderId="4" applyAlignment="1" pivotButton="0" quotePrefix="0" xfId="0">
      <alignment horizontal="center" vertical="center" wrapText="1"/>
    </xf>
    <xf numFmtId="0" fontId="27" fillId="21" borderId="4" applyAlignment="1" pivotButton="0" quotePrefix="0" xfId="0">
      <alignment horizontal="left" vertical="center" wrapText="1"/>
    </xf>
    <xf numFmtId="0" fontId="26" fillId="23" borderId="4" applyAlignment="1" pivotButton="0" quotePrefix="0" xfId="0">
      <alignment horizontal="left" vertical="center" wrapText="1"/>
    </xf>
    <xf numFmtId="0" fontId="27" fillId="23" borderId="4" applyAlignment="1" pivotButton="0" quotePrefix="0" xfId="0">
      <alignment horizontal="center" vertical="center" wrapText="1"/>
    </xf>
    <xf numFmtId="0" fontId="27" fillId="23" borderId="4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29" fillId="28" borderId="7" applyAlignment="1" pivotButton="0" quotePrefix="0" xfId="0">
      <alignment horizontal="center" vertical="center" wrapText="1"/>
    </xf>
    <xf numFmtId="0" fontId="30" fillId="22" borderId="7" applyAlignment="1" pivotButton="0" quotePrefix="0" xfId="0">
      <alignment horizontal="left" vertical="top" wrapText="1"/>
    </xf>
    <xf numFmtId="0" fontId="30" fillId="3" borderId="7" applyAlignment="1" pivotButton="0" quotePrefix="0" xfId="0">
      <alignment horizontal="left" vertical="top" wrapText="1"/>
    </xf>
    <xf numFmtId="0" fontId="30" fillId="24" borderId="7" applyAlignment="1" pivotButton="0" quotePrefix="0" xfId="0">
      <alignment horizontal="left" vertical="top" wrapText="1"/>
    </xf>
    <xf numFmtId="0" fontId="30" fillId="5" borderId="7" applyAlignment="1" pivotButton="0" quotePrefix="0" xfId="0">
      <alignment horizontal="left" vertical="top" wrapText="1"/>
    </xf>
    <xf numFmtId="0" fontId="17" fillId="28" borderId="7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left" vertical="top" wrapText="1"/>
    </xf>
    <xf numFmtId="0" fontId="21" fillId="10" borderId="1" applyAlignment="1" pivotButton="0" quotePrefix="0" xfId="0">
      <alignment horizontal="left" vertical="top" wrapText="1"/>
    </xf>
    <xf numFmtId="0" fontId="31" fillId="5" borderId="8" applyAlignment="1" pivotButton="0" quotePrefix="0" xfId="0">
      <alignment horizontal="left" vertical="top" wrapText="1"/>
    </xf>
    <xf numFmtId="0" fontId="32" fillId="29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left" vertical="top" wrapText="1"/>
    </xf>
    <xf numFmtId="0" fontId="3" fillId="2" borderId="7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15" fillId="6" borderId="7" applyAlignment="1" pivotButton="0" quotePrefix="0" xfId="0">
      <alignment horizontal="left" vertical="center" wrapText="1"/>
    </xf>
    <xf numFmtId="0" fontId="15" fillId="17" borderId="0" applyAlignment="1" pivotButton="0" quotePrefix="0" xfId="0">
      <alignment horizontal="left" vertical="top" wrapText="1"/>
    </xf>
    <xf numFmtId="0" fontId="0" fillId="0" borderId="0" pivotButton="0" quotePrefix="0" xfId="0"/>
    <xf numFmtId="0" fontId="10" fillId="14" borderId="0" applyAlignment="1" pivotButton="0" quotePrefix="0" xfId="0">
      <alignment horizontal="center" vertical="center" wrapText="1"/>
    </xf>
    <xf numFmtId="0" fontId="11" fillId="14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 vertical="center" wrapText="1"/>
    </xf>
    <xf numFmtId="0" fontId="13" fillId="15" borderId="0" applyAlignment="1" pivotButton="0" quotePrefix="0" xfId="0">
      <alignment horizontal="left" vertical="center" wrapText="1"/>
    </xf>
    <xf numFmtId="0" fontId="15" fillId="16" borderId="7" applyAlignment="1" pivotButton="0" quotePrefix="0" xfId="0">
      <alignment horizontal="left" vertical="center" wrapText="1"/>
    </xf>
    <xf numFmtId="0" fontId="15" fillId="7" borderId="7" applyAlignment="1" pivotButton="0" quotePrefix="0" xfId="0">
      <alignment horizontal="left" vertical="center" wrapText="1"/>
    </xf>
    <xf numFmtId="0" fontId="25" fillId="23" borderId="7" applyAlignment="1" pivotButton="0" quotePrefix="0" xfId="0">
      <alignment horizontal="left" vertical="center"/>
    </xf>
    <xf numFmtId="0" fontId="25" fillId="27" borderId="7" applyAlignment="1" pivotButton="0" quotePrefix="0" xfId="0">
      <alignment horizontal="left" vertical="center"/>
    </xf>
    <xf numFmtId="0" fontId="25" fillId="26" borderId="7" applyAlignment="1" pivotButton="0" quotePrefix="0" xfId="0">
      <alignment horizontal="left" vertical="center"/>
    </xf>
    <xf numFmtId="0" fontId="25" fillId="25" borderId="7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25" fillId="24" borderId="7" applyAlignment="1" pivotButton="0" quotePrefix="0" xfId="0">
      <alignment horizontal="left" vertical="center"/>
    </xf>
    <xf numFmtId="0" fontId="23" fillId="19" borderId="0" applyAlignment="1" pivotButton="0" quotePrefix="0" xfId="0">
      <alignment horizontal="center" vertical="center" wrapText="1"/>
    </xf>
    <xf numFmtId="0" fontId="25" fillId="20" borderId="7" applyAlignment="1" pivotButton="0" quotePrefix="0" xfId="0">
      <alignment horizontal="left" vertical="center"/>
    </xf>
    <xf numFmtId="0" fontId="25" fillId="22" borderId="7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0" fontId="20" fillId="16" borderId="7" applyAlignment="1" pivotButton="0" quotePrefix="0" xfId="0">
      <alignment horizontal="left" vertical="center" wrapText="1"/>
    </xf>
    <xf numFmtId="0" fontId="20" fillId="7" borderId="7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4" borderId="7" applyAlignment="1" pivotButton="0" quotePrefix="0" xfId="0">
      <alignment horizontal="center" vertical="center" wrapText="1"/>
    </xf>
    <xf numFmtId="0" fontId="13" fillId="14" borderId="0" applyAlignment="1" pivotButton="0" quotePrefix="0" xfId="0">
      <alignment horizontal="left" vertical="center"/>
    </xf>
    <xf numFmtId="0" fontId="17" fillId="15" borderId="7" applyAlignment="1" pivotButton="0" quotePrefix="0" xfId="0">
      <alignment horizontal="center" vertical="center"/>
    </xf>
    <xf numFmtId="0" fontId="20" fillId="6" borderId="7" applyAlignment="1" pivotButton="0" quotePrefix="0" xfId="0">
      <alignment horizontal="left" vertical="center" wrapText="1"/>
    </xf>
    <xf numFmtId="0" fontId="3" fillId="4" borderId="7" applyAlignment="1" pivotButton="0" quotePrefix="0" xfId="0">
      <alignment horizontal="left" vertical="center" wrapText="1"/>
    </xf>
    <xf numFmtId="0" fontId="3" fillId="12" borderId="7" applyAlignment="1" pivotButton="0" quotePrefix="0" xfId="0">
      <alignment horizontal="left" vertical="center" wrapText="1"/>
    </xf>
    <xf numFmtId="0" fontId="3" fillId="13" borderId="7" applyAlignment="1" pivotButton="0" quotePrefix="0" xfId="0">
      <alignment horizontal="left" vertical="center" wrapText="1"/>
    </xf>
    <xf numFmtId="0" fontId="15" fillId="7" borderId="8" applyAlignment="1" pivotButton="0" quotePrefix="0" xfId="0">
      <alignment horizontal="left" vertical="center" wrapText="1"/>
    </xf>
    <xf numFmtId="0" fontId="15" fillId="16" borderId="8" applyAlignment="1" pivotButton="0" quotePrefix="0" xfId="0">
      <alignment horizontal="left" vertical="center" wrapText="1"/>
    </xf>
    <xf numFmtId="0" fontId="15" fillId="6" borderId="8" applyAlignment="1" pivotButton="0" quotePrefix="0" xfId="0">
      <alignment horizontal="left" vertical="center" wrapText="1"/>
    </xf>
    <xf numFmtId="0" fontId="25" fillId="20" borderId="8" applyAlignment="1" pivotButton="0" quotePrefix="0" xfId="0">
      <alignment horizontal="left" vertical="center"/>
    </xf>
    <xf numFmtId="0" fontId="25" fillId="22" borderId="8" applyAlignment="1" pivotButton="0" quotePrefix="0" xfId="0">
      <alignment horizontal="left" vertical="center"/>
    </xf>
    <xf numFmtId="0" fontId="25" fillId="24" borderId="8" applyAlignment="1" pivotButton="0" quotePrefix="0" xfId="0">
      <alignment horizontal="left" vertical="center"/>
    </xf>
    <xf numFmtId="0" fontId="25" fillId="25" borderId="8" applyAlignment="1" pivotButton="0" quotePrefix="0" xfId="0">
      <alignment horizontal="left" vertical="center"/>
    </xf>
    <xf numFmtId="0" fontId="25" fillId="23" borderId="8" applyAlignment="1" pivotButton="0" quotePrefix="0" xfId="0">
      <alignment horizontal="left" vertical="center"/>
    </xf>
    <xf numFmtId="0" fontId="25" fillId="26" borderId="8" applyAlignment="1" pivotButton="0" quotePrefix="0" xfId="0">
      <alignment horizontal="left" vertical="center"/>
    </xf>
    <xf numFmtId="0" fontId="25" fillId="27" borderId="8" applyAlignment="1" pivotButton="0" quotePrefix="0" xfId="0">
      <alignment horizontal="left" vertical="center"/>
    </xf>
    <xf numFmtId="0" fontId="3" fillId="4" borderId="8" applyAlignment="1" pivotButton="0" quotePrefix="0" xfId="0">
      <alignment horizontal="left" vertical="center" wrapText="1"/>
    </xf>
    <xf numFmtId="0" fontId="17" fillId="15" borderId="8" applyAlignment="1" pivotButton="0" quotePrefix="0" xfId="0">
      <alignment horizontal="center" vertical="center"/>
    </xf>
    <xf numFmtId="0" fontId="20" fillId="6" borderId="8" applyAlignment="1" pivotButton="0" quotePrefix="0" xfId="0">
      <alignment horizontal="left" vertical="center" wrapText="1"/>
    </xf>
    <xf numFmtId="0" fontId="20" fillId="7" borderId="8" applyAlignment="1" pivotButton="0" quotePrefix="0" xfId="0">
      <alignment horizontal="left" vertical="center" wrapText="1"/>
    </xf>
    <xf numFmtId="0" fontId="20" fillId="16" borderId="8" applyAlignment="1" pivotButton="0" quotePrefix="0" xfId="0">
      <alignment horizontal="left" vertical="center" wrapText="1"/>
    </xf>
    <xf numFmtId="0" fontId="3" fillId="4" borderId="8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left" vertical="center" wrapText="1"/>
    </xf>
    <xf numFmtId="0" fontId="33" fillId="5" borderId="11" applyAlignment="1" pivotButton="0" quotePrefix="0" xfId="0">
      <alignment horizontal="left" vertical="top" wrapText="1"/>
    </xf>
    <xf numFmtId="0" fontId="3" fillId="12" borderId="8" applyAlignment="1" pivotButton="0" quotePrefix="0" xfId="0">
      <alignment horizontal="left" vertical="center" wrapText="1"/>
    </xf>
    <xf numFmtId="0" fontId="3" fillId="13" borderId="8" applyAlignment="1" pivotButton="0" quotePrefix="0" xfId="0">
      <alignment horizontal="left" vertical="center" wrapText="1"/>
    </xf>
    <xf numFmtId="0" fontId="34" fillId="30" borderId="11" applyAlignment="1" pivotButton="0" quotePrefix="0" xfId="0">
      <alignment horizontal="center" vertical="center" wrapText="1"/>
    </xf>
    <xf numFmtId="0" fontId="33" fillId="0" borderId="11" applyAlignment="1" pivotButton="0" quotePrefix="0" xfId="0">
      <alignment horizontal="left" vertical="top" wrapText="1"/>
    </xf>
    <xf numFmtId="0" fontId="34" fillId="31" borderId="11" applyAlignment="1" pivotButton="0" quotePrefix="0" xfId="0">
      <alignment horizontal="center" vertical="center" wrapText="1"/>
    </xf>
    <xf numFmtId="0" fontId="33" fillId="22" borderId="11" applyAlignment="1" pivotButton="0" quotePrefix="0" xfId="0">
      <alignment horizontal="left" vertical="top" wrapText="1"/>
    </xf>
    <xf numFmtId="0" fontId="33" fillId="3" borderId="11" applyAlignment="1" pivotButton="0" quotePrefix="0" xfId="0">
      <alignment horizontal="left" vertical="top" wrapText="1"/>
    </xf>
    <xf numFmtId="0" fontId="33" fillId="24" borderId="11" applyAlignment="1" pivotButton="0" quotePrefix="0" xfId="0">
      <alignment horizontal="left" vertical="top" wrapText="1"/>
    </xf>
    <xf numFmtId="0" fontId="34" fillId="32" borderId="11" applyAlignment="1" pivotButton="0" quotePrefix="0" xfId="0">
      <alignment horizontal="center" vertical="center" wrapText="1"/>
    </xf>
    <xf numFmtId="0" fontId="21" fillId="9" borderId="11" applyAlignment="1" pivotButton="0" quotePrefix="0" xfId="0">
      <alignment horizontal="left" vertical="top" wrapText="1"/>
    </xf>
    <xf numFmtId="0" fontId="21" fillId="10" borderId="11" applyAlignment="1" pivotButton="0" quotePrefix="0" xfId="0">
      <alignment horizontal="left" vertical="top" wrapText="1"/>
    </xf>
    <xf numFmtId="0" fontId="21" fillId="11" borderId="1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ForeclosureRule2</author>
  </authors>
  <commentList>
    <comment ref="G4" authorId="0" shapeId="0">
      <text>
        <t>days360 = 30/360 日历法天数差函数（每月30天/年360天）
公式: (末.年-始.年)*360 + (末.月-始.月)*30 + (末.日-始.日)
days360(nextduedate, dataasof) = 从应还款日到数据快照日的天数 = 逾期天数 DPD（逾期为正）
ETL 分档: &lt;30=C · &lt;60=D30 · &lt;90=D60 · &lt;120=D90 · &gt;=120=D120P（永不产生 FCL）
示例: nextduedate=2024-01-01, dataasof=2024-04-01 → days360=90 → D90
源码: PrefectFlow/flow/remit_validation/utils.py:14-21 ；详见「📚 术语说明 Glossary」sheet</t>
      </text>
    </comment>
    <comment ref="H5" authorId="0" shapeId="0">
      <text>
        <t>days360 = 30/360 日历法天数差函数（每月30天/年360天）
公式: (末.年-始.年)*360 + (末.月-始.月)*30 + (末.日-始.日)
days360(nextduedate, dataasof) = 从应还款日到数据快照日的天数 = 逾期天数 DPD（逾期为正）
ETL 分档: &lt;30=C · &lt;60=D30 · &lt;90=D60 · &lt;120=D90 · &gt;=120=D120P（永不产生 FCL）
示例: nextduedate=2024-01-01, dataasof=2024-04-01 → days360=90 → D90
源码: PrefectFlow/flow/remit_validation/utils.py:14-21 ；详见「📚 术语说明 Glossary」sheet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selection activeCell="A4" sqref="A4:E4"/>
    </sheetView>
  </sheetViews>
  <sheetFormatPr baseColWidth="8" defaultRowHeight="14.5"/>
  <cols>
    <col width="38" customWidth="1" style="74" min="1" max="1"/>
    <col width="18" customWidth="1" style="74" min="2" max="5"/>
  </cols>
  <sheetData>
    <row r="1" ht="30" customHeight="1" s="74">
      <c r="A1" s="75" t="inlineStr">
        <is>
          <t>📖  阅读指南 — 14_servicer_fcl_field_spec.xlsx</t>
        </is>
      </c>
    </row>
    <row r="3">
      <c r="A3" s="76" t="inlineStr">
        <is>
          <t>1  文档目的</t>
        </is>
      </c>
    </row>
    <row r="4" ht="103.5" customHeight="1" s="74">
      <c r="A4" s="77" t="inlineStr">
        <is>
          <t>本文档从 BPS Asset Management Foreclosure 五大功能面板的实际显示需求出发，逆向还原每个面板所需的 Servicer 源字段，形成 BPS 落地层的具体数据接口规范（约 92 个字段）。以 Newrez 为合规基准，供新 Servicer 对接工程师、数据治理团队与 BPS 运营人员使用。</t>
        </is>
      </c>
    </row>
    <row r="6">
      <c r="A6" s="76" t="inlineStr">
        <is>
          <t>2  适用范围</t>
        </is>
      </c>
    </row>
    <row r="7">
      <c r="A7" s="77" t="inlineStr">
        <is>
          <t xml:space="preserve">    ✅  覆盖 BPS Foreclosure 五大面板所需的全部 Servicer 字段（约 92 个）</t>
        </is>
      </c>
    </row>
    <row r="8">
      <c r="A8" s="77" t="inlineStr">
        <is>
          <t xml:space="preserve">    ✅  含四维状态基础标志层（12 个）+ BPS 展示明细层（68 个）+ Newrez 高价值增强字段层（12 个）</t>
        </is>
      </c>
    </row>
    <row r="9">
      <c r="A9" s="77" t="inlineStr">
        <is>
          <t xml:space="preserve">    ✅  以 Newrez 为合规基准，其他 Servicer 以此为参照执行 gap 分析</t>
        </is>
      </c>
    </row>
    <row r="10">
      <c r="A10" s="77" t="inlineStr">
        <is>
          <t xml:space="preserve">    ❌  不涉及 ETL 中间层代码细节（见 doc 12）</t>
        </is>
      </c>
    </row>
    <row r="12">
      <c r="A12" s="76" t="inlineStr">
        <is>
          <t>3  P0 / P1 / P2 优先级定义</t>
        </is>
      </c>
    </row>
    <row r="13" ht="16.5" customHeight="1" s="74">
      <c r="A13" s="26" t="inlineStr">
        <is>
          <t>优先级</t>
        </is>
      </c>
      <c r="B13" s="26" t="inlineStr">
        <is>
          <t>含义</t>
        </is>
      </c>
      <c r="C13" s="26" t="inlineStr">
        <is>
          <t>缺失后果</t>
        </is>
      </c>
      <c r="D13" s="26" t="n"/>
      <c r="E13" s="26" t="n"/>
    </row>
    <row r="14" ht="16.5" customHeight="1" s="74">
      <c r="A14" s="27" t="inlineStr">
        <is>
          <t>P0</t>
        </is>
      </c>
      <c r="B14" s="28" t="inlineStr">
        <is>
          <t>系统入库前提条件</t>
        </is>
      </c>
      <c r="C14" s="103" t="inlineStr">
        <is>
          <t>缺失则拒绝入库，BPS 无法处理该贷款</t>
        </is>
      </c>
      <c r="D14" s="70" t="n"/>
      <c r="E14" s="71" t="n"/>
    </row>
    <row r="15" ht="16.5" customHeight="1" s="74">
      <c r="A15" s="29" t="inlineStr">
        <is>
          <t>P1</t>
        </is>
      </c>
      <c r="B15" s="30" t="inlineStr">
        <is>
          <t>核心面板显示字段</t>
        </is>
      </c>
      <c r="C15" s="104" t="inlineStr">
        <is>
          <t>缺失则对应 BPS 面板数据异常或显示空白（降级可用）</t>
        </is>
      </c>
      <c r="D15" s="70" t="n"/>
      <c r="E15" s="71" t="n"/>
    </row>
    <row r="16" ht="16.5" customHeight="1" s="74">
      <c r="A16" s="31" t="inlineStr">
        <is>
          <t>P2</t>
        </is>
      </c>
      <c r="B16" s="32" t="inlineStr">
        <is>
          <t>增强型分析字段</t>
        </is>
      </c>
      <c r="C16" s="105" t="inlineStr">
        <is>
          <t>可选；存在时启用对应分析功能；缺失不影响主流程</t>
        </is>
      </c>
      <c r="D16" s="70" t="n"/>
      <c r="E16" s="71" t="n"/>
    </row>
    <row r="18">
      <c r="A18" s="76" t="inlineStr">
        <is>
          <t>4  Newrez 现状状态说明（合规率总览）</t>
        </is>
      </c>
    </row>
    <row r="19" ht="16.5" customHeight="1" s="74">
      <c r="A19" s="26" t="inlineStr">
        <is>
          <t>字段组</t>
        </is>
      </c>
      <c r="B19" s="26" t="inlineStr">
        <is>
          <t>总字段数</t>
        </is>
      </c>
      <c r="C19" s="26" t="inlineStr">
        <is>
          <t>✅ 已提供</t>
        </is>
      </c>
      <c r="D19" s="26" t="inlineStr">
        <is>
          <t>⚠️ 部分</t>
        </is>
      </c>
      <c r="E19" s="26" t="inlineStr">
        <is>
          <t>❌ 未提供</t>
        </is>
      </c>
    </row>
    <row r="20">
      <c r="A20" s="30" t="inlineStr">
        <is>
          <t>四维状态基础标志 (2.0)</t>
        </is>
      </c>
      <c r="B20" s="33" t="n">
        <v>11</v>
      </c>
      <c r="C20" s="33" t="n">
        <v>2</v>
      </c>
      <c r="D20" s="33" t="n">
        <v>4</v>
      </c>
      <c r="E20" s="33" t="n">
        <v>5</v>
      </c>
    </row>
    <row r="21">
      <c r="A21" s="32" t="inlineStr">
        <is>
          <t>识别/入库字段 (2.1)</t>
        </is>
      </c>
      <c r="B21" s="34" t="n">
        <v>7</v>
      </c>
      <c r="C21" s="34" t="n">
        <v>7</v>
      </c>
      <c r="D21" s="34" t="n">
        <v>0</v>
      </c>
      <c r="E21" s="34" t="n">
        <v>0</v>
      </c>
    </row>
    <row r="22">
      <c r="A22" s="32" t="inlineStr">
        <is>
          <t>FCL 状态字段 (2.2)</t>
        </is>
      </c>
      <c r="B22" s="34" t="n">
        <v>9</v>
      </c>
      <c r="C22" s="34" t="n">
        <v>7</v>
      </c>
      <c r="D22" s="34" t="n">
        <v>2</v>
      </c>
      <c r="E22" s="34" t="n">
        <v>0</v>
      </c>
    </row>
    <row r="23">
      <c r="A23" s="35" t="inlineStr">
        <is>
          <t>FCL 时间线字段 (2.3)</t>
        </is>
      </c>
      <c r="B23" s="36" t="n">
        <v>16</v>
      </c>
      <c r="C23" s="36" t="n">
        <v>10</v>
      </c>
      <c r="D23" s="36" t="n">
        <v>2</v>
      </c>
      <c r="E23" s="36" t="n">
        <v>4</v>
      </c>
    </row>
    <row r="24">
      <c r="A24" s="32" t="inlineStr">
        <is>
          <t>Hold 槽位字段 (2.4)</t>
        </is>
      </c>
      <c r="B24" s="34" t="n">
        <v>15</v>
      </c>
      <c r="C24" s="34" t="n">
        <v>15</v>
      </c>
      <c r="D24" s="34" t="n">
        <v>0</v>
      </c>
      <c r="E24" s="34" t="n">
        <v>0</v>
      </c>
    </row>
    <row r="25">
      <c r="A25" s="32" t="inlineStr">
        <is>
          <t>Bid/Sale 字段 (2.5)</t>
        </is>
      </c>
      <c r="B25" s="34" t="n">
        <v>3</v>
      </c>
      <c r="C25" s="34" t="n">
        <v>2</v>
      </c>
      <c r="D25" s="34" t="n">
        <v>1</v>
      </c>
      <c r="E25" s="34" t="n">
        <v>0</v>
      </c>
    </row>
    <row r="26">
      <c r="A26" s="35" t="inlineStr">
        <is>
          <t>贷款属性增强字段 (2.6)</t>
        </is>
      </c>
      <c r="B26" s="36" t="n">
        <v>12</v>
      </c>
      <c r="C26" s="36" t="n">
        <v>9</v>
      </c>
      <c r="D26" s="36" t="n">
        <v>0</v>
      </c>
      <c r="E26" s="36" t="n">
        <v>0</v>
      </c>
    </row>
    <row r="27">
      <c r="A27" s="35" t="inlineStr">
        <is>
          <t>LM 周期字段 (3.1)</t>
        </is>
      </c>
      <c r="B27" s="36" t="n">
        <v>10</v>
      </c>
      <c r="C27" s="36" t="n">
        <v>7</v>
      </c>
      <c r="D27" s="36" t="n">
        <v>0</v>
      </c>
      <c r="E27" s="36" t="n">
        <v>3</v>
      </c>
    </row>
    <row r="28">
      <c r="A28" s="32" t="inlineStr">
        <is>
          <t>BK 字段 (4.1)</t>
        </is>
      </c>
      <c r="B28" s="34" t="n">
        <v>11</v>
      </c>
      <c r="C28" s="34" t="n">
        <v>8</v>
      </c>
      <c r="D28" s="34" t="n">
        <v>3</v>
      </c>
      <c r="E28" s="34" t="n">
        <v>0</v>
      </c>
    </row>
    <row r="29" ht="16.5" customHeight="1" s="74">
      <c r="A29" s="37" t="inlineStr">
        <is>
          <t>合计</t>
        </is>
      </c>
      <c r="B29" s="38" t="n">
        <v>91</v>
      </c>
      <c r="C29" s="38" t="n">
        <v>67</v>
      </c>
      <c r="D29" s="38" t="n">
        <v>12</v>
      </c>
      <c r="E29" s="38" t="n">
        <v>12</v>
      </c>
    </row>
    <row r="31">
      <c r="A31" s="76" t="inlineStr">
        <is>
          <t>5  如何评审本文档</t>
        </is>
      </c>
    </row>
    <row r="32">
      <c r="A32" s="79" t="inlineStr">
        <is>
          <t>步骤 1：优先审 P0 字段</t>
        </is>
      </c>
    </row>
    <row r="33" ht="60" customHeight="1" s="74">
      <c r="A33" s="73" t="inlineStr">
        <is>
          <t>进入「字段规范」sheet，按优先级列筛选 P0。确认 Newrez 合规状态列全为 ✅；任何 ❌ 或 ⚠️ 均需立即列入行动清单，视为上线阻断项。</t>
        </is>
      </c>
    </row>
    <row r="35">
      <c r="A35" s="79" t="inlineStr">
        <is>
          <t>步骤 2：核查 P1 缺失影响</t>
        </is>
      </c>
    </row>
    <row r="36" ht="60" customHeight="1" s="74">
      <c r="A36" s="73" t="inlineStr">
        <is>
          <t>筛选优先级 = P1 且合规状态为 ❌ 或 ⚠️ 的行；参阅「BPS 面板索引」确认缺失将影响哪个面板功能；将影响描述填入「行动清单」的【缺失影响】列。</t>
        </is>
      </c>
    </row>
    <row r="38">
      <c r="A38" s="79" t="inlineStr">
        <is>
          <t>步骤 3：跟进待确认项</t>
        </is>
      </c>
    </row>
    <row r="39" ht="60" customHeight="1" s="74">
      <c r="A39" s="73" t="inlineStr">
        <is>
          <t>查看「行动清单」中状态为【待确认】的行，重点关注三类：
① BK 面板 bkstatus/bkstage 是否在 BPS 侧解码为文本
② noi_start_date 与 demand_start_date 的 BPS 展示差异
③ P2 字段是否应向新 Servicer 强制请求</t>
        </is>
      </c>
    </row>
    <row r="41">
      <c r="A41" s="78" t="inlineStr">
        <is>
          <t>本工作簿共 6 张 sheet：阅读指南 · 总览 Overview · 字段规范 Field Spec · 行动清单 Action List · BPS面板索引 · BPS显示映射</t>
        </is>
      </c>
    </row>
  </sheetData>
  <mergeCells count="21">
    <mergeCell ref="C16:E16"/>
    <mergeCell ref="A39:E39"/>
    <mergeCell ref="A1:E1"/>
    <mergeCell ref="A36:E36"/>
    <mergeCell ref="A6:E6"/>
    <mergeCell ref="A7:E7"/>
    <mergeCell ref="A41:E41"/>
    <mergeCell ref="A18:E18"/>
    <mergeCell ref="A3:E3"/>
    <mergeCell ref="A12:E12"/>
    <mergeCell ref="A33:E33"/>
    <mergeCell ref="A32:E32"/>
    <mergeCell ref="A8:E8"/>
    <mergeCell ref="C15:E15"/>
    <mergeCell ref="A35:E35"/>
    <mergeCell ref="A4:E4"/>
    <mergeCell ref="C14:E14"/>
    <mergeCell ref="A38:E38"/>
    <mergeCell ref="A10:E10"/>
    <mergeCell ref="A31:E3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0" workbookViewId="0">
      <selection activeCell="A1" sqref="A1"/>
    </sheetView>
  </sheetViews>
  <sheetFormatPr baseColWidth="8" defaultRowHeight="14.5"/>
  <cols>
    <col width="22" customWidth="1" style="74" min="1" max="1"/>
    <col width="28" customWidth="1" style="74" min="2" max="2"/>
    <col width="10" customWidth="1" style="74" min="3" max="3"/>
    <col width="38" customWidth="1" style="74" min="4" max="4"/>
    <col width="40" customWidth="1" style="74" min="5" max="5"/>
  </cols>
  <sheetData>
    <row r="1" ht="28" customHeight="1" s="74">
      <c r="A1" s="88" t="inlineStr">
        <is>
          <t>📚  术语说明 / Glossary — 14_servicer_fcl_field_spec.xlsx</t>
        </is>
      </c>
    </row>
    <row r="2" ht="16" customHeight="1" s="74">
      <c r="A2" s="86" t="inlineStr">
        <is>
          <t>本表收录文档中使用的所有领域术语，按类别分组，含中英双语说明。  |  This table lists all domain terms used in the document, grouped by category, with bilingual definitions.</t>
        </is>
      </c>
    </row>
    <row r="4" ht="22" customHeight="1" s="74">
      <c r="A4" s="50" t="inlineStr">
        <is>
          <t>术语（中文）</t>
        </is>
      </c>
      <c r="B4" s="50" t="inlineStr">
        <is>
          <t>Term (English)</t>
        </is>
      </c>
      <c r="C4" s="50" t="inlineStr">
        <is>
          <t>类别</t>
        </is>
      </c>
      <c r="D4" s="50" t="inlineStr">
        <is>
          <t>中文说明</t>
        </is>
      </c>
      <c r="E4" s="50" t="inlineStr">
        <is>
          <t>English Definition</t>
        </is>
      </c>
    </row>
    <row r="5" ht="18" customHeight="1" s="74">
      <c r="A5" s="106" t="inlineStr">
        <is>
          <t>▌ 系统</t>
        </is>
      </c>
      <c r="B5" s="70" t="n"/>
      <c r="C5" s="70" t="n"/>
      <c r="D5" s="70" t="n"/>
      <c r="E5" s="71" t="n"/>
    </row>
    <row r="6" ht="52" customHeight="1" s="74">
      <c r="A6" s="51" t="inlineStr">
        <is>
          <t>BPS</t>
        </is>
      </c>
      <c r="B6" s="51" t="inlineStr">
        <is>
          <t>BPS (Business Processing System)</t>
        </is>
      </c>
      <c r="C6" s="52" t="inlineStr">
        <is>
          <t>系统</t>
        </is>
      </c>
      <c r="D6" s="53" t="inlineStr">
        <is>
          <t>贷款资产管理平台，内部运营系统。Foreclosure 模块包含五大功能面板，用于跟踪和展示法拍流程状态。</t>
        </is>
      </c>
      <c r="E6" s="53" t="inlineStr">
        <is>
          <t>Internal mortgage asset management platform. The Foreclosure module contains 5 functional panels for tracking and displaying foreclosure process status.</t>
        </is>
      </c>
    </row>
    <row r="7" ht="52" customHeight="1" s="74">
      <c r="A7" s="51" t="inlineStr">
        <is>
          <t>ETL</t>
        </is>
      </c>
      <c r="B7" s="51" t="inlineStr">
        <is>
          <t>ETL (Extract-Transform-Load)</t>
        </is>
      </c>
      <c r="C7" s="52" t="inlineStr">
        <is>
          <t>系统</t>
        </is>
      </c>
      <c r="D7" s="53" t="inlineStr">
        <is>
          <t>数据管道：从 Servicer 原始数据文件提取字段，经清洗/转换后写入 BPS 数据库。</t>
        </is>
      </c>
      <c r="E7" s="53" t="inlineStr">
        <is>
          <t>Data pipeline: extracts fields from Servicer raw data files, cleans/transforms them, and loads them into the BPS database.</t>
        </is>
      </c>
    </row>
    <row r="8" ht="18" customHeight="1" s="74">
      <c r="A8" s="107" t="inlineStr">
        <is>
          <t>▌ 业务主体</t>
        </is>
      </c>
      <c r="B8" s="70" t="n"/>
      <c r="C8" s="70" t="n"/>
      <c r="D8" s="70" t="n"/>
      <c r="E8" s="71" t="n"/>
    </row>
    <row r="9" ht="52" customHeight="1" s="74">
      <c r="A9" s="54" t="inlineStr">
        <is>
          <t>Servicer</t>
        </is>
      </c>
      <c r="B9" s="54" t="inlineStr">
        <is>
          <t>Servicer (贷款服务商)</t>
        </is>
      </c>
      <c r="C9" s="55" t="inlineStr">
        <is>
          <t>业务主体</t>
        </is>
      </c>
      <c r="D9" s="56" t="inlineStr">
        <is>
          <t>代表投资方管理抵押贷款的公司，负责收款、客户沟通、止赎流程执行等。本文以 Newrez 为合规基准。</t>
        </is>
      </c>
      <c r="E9" s="56" t="inlineStr">
        <is>
          <t>A company that manages mortgage loans on behalf of investors; handles collections, borrower communication, and foreclosure execution. This document uses Newrez as the compliance baseline.</t>
        </is>
      </c>
    </row>
    <row r="10" ht="52" customHeight="1" s="74">
      <c r="A10" s="54" t="inlineStr">
        <is>
          <t>Newrez / Shellpoint</t>
        </is>
      </c>
      <c r="B10" s="54" t="inlineStr">
        <is>
          <t>Newrez / Shellpoint</t>
        </is>
      </c>
      <c r="C10" s="55" t="inlineStr">
        <is>
          <t>业务主体</t>
        </is>
      </c>
      <c r="D10" s="56" t="inlineStr">
        <is>
          <t>本文档的合规基准 Servicer。Shellpoint Mortgage Servicing 为 Newrez 的运营品牌名。</t>
        </is>
      </c>
      <c r="E10" s="56" t="inlineStr">
        <is>
          <t>The compliance-baseline Servicer for this document. Shellpoint Mortgage Servicing is Newrez's operating brand name.</t>
        </is>
      </c>
    </row>
    <row r="11" ht="18" customHeight="1" s="74">
      <c r="A11" s="108" t="inlineStr">
        <is>
          <t>▌ 法拍流程</t>
        </is>
      </c>
      <c r="B11" s="70" t="n"/>
      <c r="C11" s="70" t="n"/>
      <c r="D11" s="70" t="n"/>
      <c r="E11" s="71" t="n"/>
    </row>
    <row r="12" ht="52" customHeight="1" s="74">
      <c r="A12" s="51" t="inlineStr">
        <is>
          <t>FCL (Foreclosure / 法拍)</t>
        </is>
      </c>
      <c r="B12" s="51" t="inlineStr">
        <is>
          <t>FCL — Foreclosure</t>
        </is>
      </c>
      <c r="C12" s="52" t="inlineStr">
        <is>
          <t>法拍流程</t>
        </is>
      </c>
      <c r="D12" s="53" t="inlineStr">
        <is>
          <t>当借款人持续逾期时，贷款方通过法律程序收回抵押房产的过程。美国各州分为司法程序（需法院）和非司法程序（无需法院）两类。</t>
        </is>
      </c>
      <c r="E12" s="53" t="inlineStr">
        <is>
          <t>The legal process by which a lender reclaims mortgaged property after borrower default. US states use either judicial (court-involved) or non-judicial (power-of-sale) procedures.</t>
        </is>
      </c>
    </row>
    <row r="13" ht="52" customHeight="1" s="74">
      <c r="A13" s="51" t="inlineStr">
        <is>
          <t>NOI</t>
        </is>
      </c>
      <c r="B13" s="51" t="inlineStr">
        <is>
          <t>NOI — Notice of Intent / Initiation</t>
        </is>
      </c>
      <c r="C13" s="52" t="inlineStr">
        <is>
          <t>法拍流程</t>
        </is>
      </c>
      <c r="D13" s="53" t="inlineStr">
        <is>
          <t>法拍启动前向借款人发出的正式意向通知，标志着法拍程序的开始。</t>
        </is>
      </c>
      <c r="E13" s="53" t="inlineStr">
        <is>
          <t>Formal notification sent to the borrower before foreclosure initiation; marks the start of the formal foreclosure process.</t>
        </is>
      </c>
    </row>
    <row r="14" ht="52" customHeight="1" s="74">
      <c r="A14" s="51" t="inlineStr">
        <is>
          <t>Demand Date</t>
        </is>
      </c>
      <c r="B14" s="51" t="inlineStr">
        <is>
          <t>Demand Date (催款起始日)</t>
        </is>
      </c>
      <c r="C14" s="52" t="inlineStr">
        <is>
          <t>法拍流程</t>
        </is>
      </c>
      <c r="D14" s="53" t="inlineStr">
        <is>
          <t>向借款人发送正式催款函的日期，通常早于法拍启动日，是法律程序的前置步骤。</t>
        </is>
      </c>
      <c r="E14" s="53" t="inlineStr">
        <is>
          <t>Date of the formal demand letter sent to the borrower, typically prior to foreclosure filing; a prerequisite legal step.</t>
        </is>
      </c>
    </row>
    <row r="15" ht="52" customHeight="1" s="74">
      <c r="A15" s="51" t="inlineStr">
        <is>
          <t>Judicial / Non-Judicial</t>
        </is>
      </c>
      <c r="B15" s="51" t="inlineStr">
        <is>
          <t>Judicial vs. Non-Judicial Foreclosure</t>
        </is>
      </c>
      <c r="C15" s="52" t="inlineStr">
        <is>
          <t>法拍流程</t>
        </is>
      </c>
      <c r="D15" s="53" t="inlineStr">
        <is>
          <t>司法程序：需通过法院审理，周期较长（常见于纽约、新泽西等州）。非司法程序：依授权销售条款执行，无需法院，周期较短（加州等州）。</t>
        </is>
      </c>
      <c r="E15" s="53" t="inlineStr">
        <is>
          <t>Judicial: requires court proceedings, longer timeline (e.g., NY, NJ). Non-Judicial: executed via power-of-sale clause without court involvement, shorter timeline (e.g., CA).</t>
        </is>
      </c>
    </row>
    <row r="16" ht="18" customHeight="1" s="74">
      <c r="A16" s="109" t="inlineStr">
        <is>
          <t>▌ 字段分组</t>
        </is>
      </c>
      <c r="B16" s="70" t="n"/>
      <c r="C16" s="70" t="n"/>
      <c r="D16" s="70" t="n"/>
      <c r="E16" s="71" t="n"/>
    </row>
    <row r="17" ht="52" customHeight="1" s="74">
      <c r="A17" s="54" t="inlineStr">
        <is>
          <t>四维状态基础标志</t>
        </is>
      </c>
      <c r="B17" s="54" t="inlineStr">
        <is>
          <t>Four-Dimension Status Flags (Section 2.0)</t>
        </is>
      </c>
      <c r="C17" s="55" t="inlineStr">
        <is>
          <t>字段分组</t>
        </is>
      </c>
      <c r="D17" s="56" t="inlineStr">
        <is>
          <t>BPS 内部的 12 个 P0 级状态字段，覆盖 FCL / Hold / LM / BK 四个维度，是系统入库的前提条件。Newrez 目前仅提供约 1/12（合规率 ~8%），是最大缺口。</t>
        </is>
      </c>
      <c r="E17" s="56" t="inlineStr">
        <is>
          <t>12 P0-priority BPS-internal state fields covering four dimensions: FCL / Hold / LM / BK. These are prerequisites for system ingestion. Newrez currently provides ~1/12 (~8% compliance) — the largest gap.</t>
        </is>
      </c>
    </row>
    <row r="18" ht="52" customHeight="1" s="74">
      <c r="A18" s="54" t="inlineStr">
        <is>
          <t>Hold 槽位 (Hold Slots)</t>
        </is>
      </c>
      <c r="B18" s="54" t="inlineStr">
        <is>
          <t>Hold Slots (Section 2.4)</t>
        </is>
      </c>
      <c r="C18" s="55" t="inlineStr">
        <is>
          <t>字段分组</t>
        </is>
      </c>
      <c r="D18" s="56" t="inlineStr">
        <is>
          <t>15 个字段，记录法拍被暂缓的原因及时间，分为法律类（BK / LM / 诉讼）、自然灾害、业务决策等多个槽位。</t>
        </is>
      </c>
      <c r="E18" s="56" t="inlineStr">
        <is>
          <t>15 fields tracking why and when a foreclosure is paused; categories include legal holds (BK/LM/litigation), disaster holds, and business decision holds.</t>
        </is>
      </c>
    </row>
    <row r="19" ht="52" customHeight="1" s="74">
      <c r="A19" s="54" t="inlineStr">
        <is>
          <t>LM (Loss Mitigation / 损失缓解)</t>
        </is>
      </c>
      <c r="B19" s="54" t="inlineStr">
        <is>
          <t>LM — Loss Mitigation (Section 3.1)</t>
        </is>
      </c>
      <c r="C19" s="55" t="inlineStr">
        <is>
          <t>字段分组</t>
        </is>
      </c>
      <c r="D19" s="56" t="inlineStr">
        <is>
          <t>为违约借款人提供的止赎替代方案，包括贷款修改、还款计划、宽限期、短售等。进行中的 LM 会触发 Hold 并暂停法拍。</t>
        </is>
      </c>
      <c r="E19" s="56" t="inlineStr">
        <is>
          <t>Alternatives to foreclosure offered to delinquent borrowers: loan modification, repayment plan, forbearance, short sale, etc. Active LM triggers a Hold and pauses foreclosure.</t>
        </is>
      </c>
    </row>
    <row r="20" ht="52" customHeight="1" s="74">
      <c r="A20" s="54" t="inlineStr">
        <is>
          <t>BK (Bankruptcy / 破产)</t>
        </is>
      </c>
      <c r="B20" s="54" t="inlineStr">
        <is>
          <t>BK — Bankruptcy (Section 4.1)</t>
        </is>
      </c>
      <c r="C20" s="55" t="inlineStr">
        <is>
          <t>字段分组</t>
        </is>
      </c>
      <c r="D20" s="56" t="inlineStr">
        <is>
          <t>借款人申请破产（Chapter 7/11/13）后，自动中止令（Automatic Stay）暂停所有催收和法拍行为，直至法院解除。</t>
        </is>
      </c>
      <c r="E20" s="56" t="inlineStr">
        <is>
          <t>After a borrower files bankruptcy (Ch.7/11/13), the Automatic Stay halts all collection and foreclosure actions until the court lifts it.</t>
        </is>
      </c>
    </row>
    <row r="21" ht="18" customHeight="1" s="74">
      <c r="A21" s="110" t="inlineStr">
        <is>
          <t>▌ 字段分区</t>
        </is>
      </c>
      <c r="B21" s="70" t="n"/>
      <c r="C21" s="70" t="n"/>
      <c r="D21" s="70" t="n"/>
      <c r="E21" s="71" t="n"/>
    </row>
    <row r="22" ht="52" customHeight="1" s="74">
      <c r="A22" s="51" t="inlineStr">
        <is>
          <t>Section 2.0</t>
        </is>
      </c>
      <c r="B22" s="51" t="inlineStr">
        <is>
          <t>Section 2.0 — 四维状态基础标志</t>
        </is>
      </c>
      <c r="C22" s="52" t="inlineStr">
        <is>
          <t>字段分区</t>
        </is>
      </c>
      <c r="D22" s="53" t="inlineStr">
        <is>
          <t>12 个 P0 字段；系统入库的最低前提，任一缺失将导致该贷款记录被 BPS 拒绝。</t>
        </is>
      </c>
      <c r="E22" s="53" t="inlineStr">
        <is>
          <t>12 P0 fields. The minimum ingestion prerequisite; any missing field causes BPS to reject the loan record.</t>
        </is>
      </c>
    </row>
    <row r="23" ht="52" customHeight="1" s="74">
      <c r="A23" s="51" t="inlineStr">
        <is>
          <t>Section 2.1</t>
        </is>
      </c>
      <c r="B23" s="51" t="inlineStr">
        <is>
          <t>Section 2.1 — 识别/入库过滤字段</t>
        </is>
      </c>
      <c r="C23" s="52" t="inlineStr">
        <is>
          <t>字段分区</t>
        </is>
      </c>
      <c r="D23" s="53" t="inlineStr">
        <is>
          <t>7 个贷款识别和入库过滤字段（如 loan_id, investor_type 等）。Newrez 合规率 100%。</t>
        </is>
      </c>
      <c r="E23" s="53" t="inlineStr">
        <is>
          <t>7 loan identification and ingestion-filter fields (e.g., loan_id, investor_type). Newrez compliance: 100%.</t>
        </is>
      </c>
    </row>
    <row r="24" ht="52" customHeight="1" s="74">
      <c r="A24" s="51" t="inlineStr">
        <is>
          <t>Section 2.2</t>
        </is>
      </c>
      <c r="B24" s="51" t="inlineStr">
        <is>
          <t>Section 2.2 — FCL 状态字段</t>
        </is>
      </c>
      <c r="C24" s="52" t="inlineStr">
        <is>
          <t>字段分区</t>
        </is>
      </c>
      <c r="D24" s="53" t="inlineStr">
        <is>
          <t>9 个字段，描述当前法拍流程所处阶段（如 fcl_status, fcl_stage）。Newrez 合规率 88%。</t>
        </is>
      </c>
      <c r="E24" s="53" t="inlineStr">
        <is>
          <t>9 fields describing the current foreclosure process stage (e.g., fcl_status, fcl_stage). Newrez compliance: 88%.</t>
        </is>
      </c>
    </row>
    <row r="25" ht="52" customHeight="1" s="74">
      <c r="A25" s="51" t="inlineStr">
        <is>
          <t>Section 2.3</t>
        </is>
      </c>
      <c r="B25" s="51" t="inlineStr">
        <is>
          <t>Section 2.3 — FCL 时间轴字段</t>
        </is>
      </c>
      <c r="C25" s="52" t="inlineStr">
        <is>
          <t>字段分区</t>
        </is>
      </c>
      <c r="D25" s="53" t="inlineStr">
        <is>
          <t>16 个字段，记录法拍各关键节点的日期（如首次违约日、起诉日、判决日、拍卖日等）。Newrez 合规率 ~56%，缺失 5 个字段。</t>
        </is>
      </c>
      <c r="E25" s="53" t="inlineStr">
        <is>
          <t>16 fields recording dates of key foreclosure milestones (first default date, filing date, judgment date, auction date, etc.). Newrez compliance: ~56%, 5 fields missing.</t>
        </is>
      </c>
    </row>
    <row r="26" ht="52" customHeight="1" s="74">
      <c r="A26" s="51" t="inlineStr">
        <is>
          <t>Section 2.4</t>
        </is>
      </c>
      <c r="B26" s="51" t="inlineStr">
        <is>
          <t>Section 2.4 — Hold 槽位字段</t>
        </is>
      </c>
      <c r="C26" s="52" t="inlineStr">
        <is>
          <t>字段分区</t>
        </is>
      </c>
      <c r="D26" s="53" t="inlineStr">
        <is>
          <t>15 个字段，覆盖各类 Hold 状态的开始/结束时间（BK Hold, LM Hold, Disaster Hold 等）。Newrez 合规率 100%（在已请求字段范围内）。</t>
        </is>
      </c>
      <c r="E26" s="53" t="inlineStr">
        <is>
          <t>15 fields covering start/end dates for each Hold type (BK Hold, LM Hold, Disaster Hold, etc.). Newrez compliance: 100% for formally requested fields.</t>
        </is>
      </c>
    </row>
    <row r="27" ht="52" customHeight="1" s="74">
      <c r="A27" s="51" t="inlineStr">
        <is>
          <t>Section 2.5</t>
        </is>
      </c>
      <c r="B27" s="51" t="inlineStr">
        <is>
          <t>Section 2.5 — 竞标/销售字段</t>
        </is>
      </c>
      <c r="C27" s="52" t="inlineStr">
        <is>
          <t>字段分区</t>
        </is>
      </c>
      <c r="D27" s="53" t="inlineStr">
        <is>
          <t>3 个字段，记录拍卖出价和销售结果（如 bid_amount, sale_date）。Newrez 合规率 83%。</t>
        </is>
      </c>
      <c r="E27" s="53" t="inlineStr">
        <is>
          <t>3 fields for auction bid and sale outcome data (e.g., bid_amount, sale_date). Newrez compliance: 83%.</t>
        </is>
      </c>
    </row>
    <row r="28" ht="52" customHeight="1" s="74">
      <c r="A28" s="51" t="inlineStr">
        <is>
          <t>Section 2.6</t>
        </is>
      </c>
      <c r="B28" s="51" t="inlineStr">
        <is>
          <t>Section 2.6 — 贷款属性增强字段</t>
        </is>
      </c>
      <c r="C28" s="52" t="inlineStr">
        <is>
          <t>字段分区</t>
        </is>
      </c>
      <c r="D28" s="53" t="inlineStr">
        <is>
          <t>12 个字段，提供贷款基本属性（余额、利率、产权类型等），供 BPS 面板增强显示用。Newrez 合规率 ~75%。</t>
        </is>
      </c>
      <c r="E28" s="53" t="inlineStr">
        <is>
          <t>12 fields providing basic loan attributes (balance, interest rate, property type, etc.) for enhanced BPS panel display. Newrez compliance: ~75%.</t>
        </is>
      </c>
    </row>
    <row r="29" ht="52" customHeight="1" s="74">
      <c r="A29" s="51" t="inlineStr">
        <is>
          <t>Section 3.1</t>
        </is>
      </c>
      <c r="B29" s="51" t="inlineStr">
        <is>
          <t>Section 3.1 — LM 周期字段</t>
        </is>
      </c>
      <c r="C29" s="52" t="inlineStr">
        <is>
          <t>字段分区</t>
        </is>
      </c>
      <c r="D29" s="53" t="inlineStr">
        <is>
          <t>10 个字段，记录损失缓解活动的起止日期和结果。Newrez 合规率 70%，缺失 3 个字段。</t>
        </is>
      </c>
      <c r="E29" s="53" t="inlineStr">
        <is>
          <t>10 fields for loss mitigation activity dates and outcomes. Newrez compliance: 70%, 3 fields missing.</t>
        </is>
      </c>
    </row>
    <row r="30" ht="52" customHeight="1" s="74">
      <c r="A30" s="51" t="inlineStr">
        <is>
          <t>Section 4.1</t>
        </is>
      </c>
      <c r="B30" s="51" t="inlineStr">
        <is>
          <t>Section 4.1 — 破产字段</t>
        </is>
      </c>
      <c r="C30" s="52" t="inlineStr">
        <is>
          <t>字段分区</t>
        </is>
      </c>
      <c r="D30" s="53" t="inlineStr">
        <is>
          <t>11 个字段，记录破产案件信息（申请章节、申请日期、自动中止解除日等）。Newrez 合规率 91%。</t>
        </is>
      </c>
      <c r="E30" s="53" t="inlineStr">
        <is>
          <t>11 fields for bankruptcy case information (chapter filed, filing date, stay lift date, etc.). Newrez compliance: 91%.</t>
        </is>
      </c>
    </row>
    <row r="31" ht="18" customHeight="1" s="74">
      <c r="A31" s="111" t="inlineStr">
        <is>
          <t>▌ 优先级</t>
        </is>
      </c>
      <c r="B31" s="70" t="n"/>
      <c r="C31" s="70" t="n"/>
      <c r="D31" s="70" t="n"/>
      <c r="E31" s="71" t="n"/>
    </row>
    <row r="32" ht="52" customHeight="1" s="74">
      <c r="A32" s="54" t="inlineStr">
        <is>
          <t>P0</t>
        </is>
      </c>
      <c r="B32" s="54" t="inlineStr">
        <is>
          <t>P0 — System Ingestion Prerequisite</t>
        </is>
      </c>
      <c r="C32" s="55" t="inlineStr">
        <is>
          <t>优先级</t>
        </is>
      </c>
      <c r="D32" s="56" t="inlineStr">
        <is>
          <t>入库前提条件。缺失任一 P0 字段，BPS 将拒绝整条贷款记录入库。</t>
        </is>
      </c>
      <c r="E32" s="56" t="inlineStr">
        <is>
          <t>System ingestion prerequisite. Missing any P0 field causes BPS to reject the entire loan record.</t>
        </is>
      </c>
    </row>
    <row r="33" ht="52" customHeight="1" s="74">
      <c r="A33" s="54" t="inlineStr">
        <is>
          <t>P1</t>
        </is>
      </c>
      <c r="B33" s="54" t="inlineStr">
        <is>
          <t>P1 — Core Panel Display Field</t>
        </is>
      </c>
      <c r="C33" s="55" t="inlineStr">
        <is>
          <t>优先级</t>
        </is>
      </c>
      <c r="D33" s="56" t="inlineStr">
        <is>
          <t>核心面板显示字段。缺失则对应 BPS 面板功能异常或显示空白（降级可用，不阻断入库）。</t>
        </is>
      </c>
      <c r="E33" s="56" t="inlineStr">
        <is>
          <t>Core panel display field. Missing P1 fields cause BPS panel display gaps or blank data (system still ingests the loan).</t>
        </is>
      </c>
    </row>
    <row r="34" ht="52" customHeight="1" s="74">
      <c r="A34" s="54" t="inlineStr">
        <is>
          <t>P2</t>
        </is>
      </c>
      <c r="B34" s="54" t="inlineStr">
        <is>
          <t>P2 — Enhanced Analytics Field</t>
        </is>
      </c>
      <c r="C34" s="55" t="inlineStr">
        <is>
          <t>优先级</t>
        </is>
      </c>
      <c r="D34" s="56" t="inlineStr">
        <is>
          <t>增强型分析字段，可选。存在时启用高级分析功能；缺失不影响主流程。</t>
        </is>
      </c>
      <c r="E34" s="56" t="inlineStr">
        <is>
          <t>Optional enhanced analytics field. When present, enables advanced analysis features; missing P2 fields don't affect the main workflow.</t>
        </is>
      </c>
    </row>
    <row r="35" ht="18" customHeight="1" s="74">
      <c r="A35" s="112" t="inlineStr">
        <is>
          <t>▌ 度量指标</t>
        </is>
      </c>
      <c r="B35" s="70" t="n"/>
      <c r="C35" s="70" t="n"/>
      <c r="D35" s="70" t="n"/>
      <c r="E35" s="71" t="n"/>
    </row>
    <row r="36" ht="52" customHeight="1" s="74">
      <c r="A36" s="51" t="inlineStr">
        <is>
          <t>合规率</t>
        </is>
      </c>
      <c r="B36" s="51" t="inlineStr">
        <is>
          <t>Compliance Rate (合规率)</t>
        </is>
      </c>
      <c r="C36" s="52" t="inlineStr">
        <is>
          <t>度量指标</t>
        </is>
      </c>
      <c r="D36" s="53" t="inlineStr">
        <is>
          <t>已提供字段数 ÷ BPS 所需字段总数，用于衡量 Servicer 当前数据交付的完整性。</t>
        </is>
      </c>
      <c r="E36" s="53" t="inlineStr">
        <is>
          <t>Provided fields ÷ total BPS-required fields. Measures the completeness of a Servicer's current data delivery.</t>
        </is>
      </c>
    </row>
    <row r="37" ht="52" customHeight="1" s="74">
      <c r="A37" s="51" t="inlineStr">
        <is>
          <t>已提供 / 部分提供 / 未提供</t>
        </is>
      </c>
      <c r="B37" s="51" t="inlineStr">
        <is>
          <t>Provided / Partial / Not Provided</t>
        </is>
      </c>
      <c r="C37" s="52" t="inlineStr">
        <is>
          <t>度量指标</t>
        </is>
      </c>
      <c r="D37" s="53" t="inlineStr">
        <is>
          <t>✅已提供：Newrez 已交付且 BPS 可直接读取。⚠️部分提供：已交付但有覆盖率或质量问题。❌未提供：Newrez 未交付，BPS 显示空白。</t>
        </is>
      </c>
      <c r="E37" s="53" t="inlineStr">
        <is>
          <t>✅ Provided: Newrez delivers the field and BPS can read it directly. ⚠️ Partial: delivered but with coverage or quality issues. ❌ Not Provided: Newrez does not deliver the field; BPS shows blank.</t>
        </is>
      </c>
    </row>
    <row r="38" ht="52" customHeight="1" s="74">
      <c r="A38" s="51" t="inlineStr">
        <is>
          <t>days360</t>
        </is>
      </c>
      <c r="B38" s="51" t="inlineStr">
        <is>
          <t>days360 (30/360 day-count)</t>
        </is>
      </c>
      <c r="C38" s="52" t="inlineStr">
        <is>
          <t>度量指标</t>
        </is>
      </c>
      <c r="D38" s="53" t="inlineStr">
        <is>
          <t>按 30/360 惯例计算两日期天数差的函数（每月30天/年360天）；公式 = (末.年−始.年)×360 + (末.月−始.月)×30 + (末.日−始.日)。days360(nextduedate, dataasof) = 从下次应还款日到数据快照日的天数 = 逾期天数 DPD（逾期为正）。ETL 分档：&lt;30→C · &lt;60→D30 · &lt;90→D60 · &lt;120→D90 · ≥120→D120P（永不产生 FCL）。源码 PrefectFlow/flow/remit_validation/utils.py:14-21。</t>
        </is>
      </c>
      <c r="E38" s="53" t="inlineStr">
        <is>
          <t>30/360 day-count function (each month=30 days, year=360); formula = (end.yr−start.yr)×360 + (end.mo−start.mo)×30 + (end.day−start.day). days360(nextduedate, dataasof) = days from next-payment-due date to snapshot date = DPD (positive when overdue). ETL buckets: &lt;30→C, &lt;60→D30, &lt;90→D60, &lt;120→D90, ≥120→D120P (never yields FCL). Source: PrefectFlow/flow/remit_validation/utils.py:14-21.</t>
        </is>
      </c>
    </row>
    <row r="40">
      <c r="A40" s="91" t="inlineStr">
        <is>
          <t>来源：doc 14 BPS-driven Servicer FCL Interface Spec · doc 09 Servicer Data Interface Standard · doc 10 Glossary</t>
        </is>
      </c>
    </row>
  </sheetData>
  <mergeCells count="10">
    <mergeCell ref="A21:E21"/>
    <mergeCell ref="A35:E35"/>
    <mergeCell ref="A31:E31"/>
    <mergeCell ref="A16:E16"/>
    <mergeCell ref="A2:E2"/>
    <mergeCell ref="A11:E11"/>
    <mergeCell ref="A1:E1"/>
    <mergeCell ref="A5:E5"/>
    <mergeCell ref="A8:E8"/>
    <mergeCell ref="A40:E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2" topLeftCell="A3" activePane="bottomLeft" state="frozen"/>
      <selection pane="bottomLeft" activeCell="A1" sqref="A1:F1"/>
    </sheetView>
  </sheetViews>
  <sheetFormatPr baseColWidth="8" defaultRowHeight="14.5"/>
  <cols>
    <col width="28" customWidth="1" style="74" min="1" max="1"/>
    <col width="18" customWidth="1" style="74" min="2" max="2"/>
    <col width="10" customWidth="1" style="74" min="3" max="5"/>
    <col width="12" customWidth="1" style="74" min="6" max="6"/>
  </cols>
  <sheetData>
    <row r="1" ht="28" customHeight="1" s="74">
      <c r="A1" s="95" t="inlineStr">
        <is>
          <t>BPS Servicer FCL 字段接口规范</t>
        </is>
      </c>
    </row>
    <row r="2">
      <c r="A2" s="92" t="inlineStr">
        <is>
          <t>来源文档：doc 14（Servicer接口规范）+ doc 13（BPS显示字段映射）| 生成日期：2026-05-31</t>
        </is>
      </c>
    </row>
    <row r="4" ht="18" customHeight="1" s="74">
      <c r="A4" s="113" t="inlineStr">
        <is>
          <t>字段组分布</t>
        </is>
      </c>
      <c r="B4" s="70" t="n"/>
      <c r="C4" s="70" t="n"/>
      <c r="D4" s="70" t="n"/>
      <c r="E4" s="70" t="n"/>
      <c r="F4" s="71" t="n"/>
    </row>
    <row r="5" ht="20" customHeight="1" s="74">
      <c r="A5" s="97" t="inlineStr">
        <is>
          <t>图例说明 — Newrez 合规状态定义</t>
        </is>
      </c>
    </row>
    <row r="6" ht="18" customHeight="1" s="74">
      <c r="A6" s="39" t="inlineStr">
        <is>
          <t>符号</t>
        </is>
      </c>
      <c r="B6" s="39" t="inlineStr">
        <is>
          <t>含义</t>
        </is>
      </c>
      <c r="C6" s="114" t="inlineStr">
        <is>
          <t>典型场景</t>
        </is>
      </c>
      <c r="D6" s="70" t="n"/>
      <c r="E6" s="70" t="n"/>
      <c r="F6" s="71" t="n"/>
    </row>
    <row r="7" ht="20" customHeight="1" s="74">
      <c r="A7" s="40" t="inlineStr">
        <is>
          <t>✅ 已提供</t>
        </is>
      </c>
      <c r="B7" s="41" t="inlineStr">
        <is>
          <t>Newrez 当前已交付，BPS 可直接读取使用</t>
        </is>
      </c>
      <c r="C7" s="115" t="inlineStr">
        <is>
          <t>字段存在、格式正确、值有效</t>
        </is>
      </c>
      <c r="D7" s="70" t="n"/>
      <c r="E7" s="70" t="n"/>
      <c r="F7" s="71" t="n"/>
    </row>
    <row r="8" ht="20" customHeight="1" s="74">
      <c r="A8" s="42" t="inlineStr">
        <is>
          <t>⚠️ 部分提供</t>
        </is>
      </c>
      <c r="B8" s="43" t="inlineStr">
        <is>
          <t>已交付但存在覆盖率或质量问题</t>
        </is>
      </c>
      <c r="C8" s="116" t="inlineStr">
        <is>
          <t>部分贷款缺值 / 字段名需映射 / 格式需转换</t>
        </is>
      </c>
      <c r="D8" s="70" t="n"/>
      <c r="E8" s="70" t="n"/>
      <c r="F8" s="71" t="n"/>
    </row>
    <row r="9" ht="20" customHeight="1" s="74">
      <c r="A9" s="44" t="inlineStr">
        <is>
          <t>❌ 未提供</t>
        </is>
      </c>
      <c r="B9" s="45" t="inlineStr">
        <is>
          <t>Newrez 完全未交付，BPS 显示空白</t>
        </is>
      </c>
      <c r="C9" s="117" t="inlineStr">
        <is>
          <t>字段在 Newrez 数据文件中不存在</t>
        </is>
      </c>
      <c r="D9" s="70" t="n"/>
      <c r="E9" s="70" t="n"/>
      <c r="F9" s="71" t="n"/>
    </row>
    <row r="10">
      <c r="A10" s="4" t="inlineStr">
        <is>
          <t>字段组 (Section)</t>
        </is>
      </c>
      <c r="B10" s="4" t="inlineStr">
        <is>
          <t>字段数</t>
        </is>
      </c>
      <c r="C10" s="4" t="inlineStr">
        <is>
          <t>✅提供</t>
        </is>
      </c>
      <c r="D10" s="4" t="inlineStr">
        <is>
          <t>⚠️部分</t>
        </is>
      </c>
      <c r="E10" s="4" t="inlineStr">
        <is>
          <t>❌未提供</t>
        </is>
      </c>
      <c r="F10" s="4" t="inlineStr">
        <is>
          <t>合规率</t>
        </is>
      </c>
    </row>
    <row r="11">
      <c r="A11" s="5" t="inlineStr">
        <is>
          <t>2.0 四维状态基础</t>
        </is>
      </c>
      <c r="B11" s="5" t="n">
        <v>11</v>
      </c>
      <c r="C11" s="5" t="n">
        <v>2</v>
      </c>
      <c r="D11" s="5" t="n">
        <v>4</v>
      </c>
      <c r="E11" s="5" t="n">
        <v>5</v>
      </c>
      <c r="F11" s="6" t="inlineStr">
        <is>
          <t>~18%</t>
        </is>
      </c>
    </row>
    <row r="12">
      <c r="A12" s="5" t="inlineStr">
        <is>
          <t>2.1 贷款识别/入库过滤</t>
        </is>
      </c>
      <c r="B12" s="5" t="n">
        <v>7</v>
      </c>
      <c r="C12" s="5" t="n">
        <v>7</v>
      </c>
      <c r="D12" s="5" t="n">
        <v>0</v>
      </c>
      <c r="E12" s="5" t="n">
        <v>0</v>
      </c>
      <c r="F12" s="7" t="inlineStr">
        <is>
          <t>100%</t>
        </is>
      </c>
    </row>
    <row r="13">
      <c r="A13" s="5" t="inlineStr">
        <is>
          <t>2.2 FCL状态字段</t>
        </is>
      </c>
      <c r="B13" s="5" t="n">
        <v>9</v>
      </c>
      <c r="C13" s="5" t="n">
        <v>7</v>
      </c>
      <c r="D13" s="5" t="n">
        <v>2</v>
      </c>
      <c r="E13" s="5" t="n">
        <v>0</v>
      </c>
      <c r="F13" s="8" t="inlineStr">
        <is>
          <t>~78%</t>
        </is>
      </c>
    </row>
    <row r="14">
      <c r="A14" s="5" t="inlineStr">
        <is>
          <t>2.3 FCL时间轴字段</t>
        </is>
      </c>
      <c r="B14" s="5" t="n">
        <v>16</v>
      </c>
      <c r="C14" s="5" t="n">
        <v>10</v>
      </c>
      <c r="D14" s="5" t="n">
        <v>2</v>
      </c>
      <c r="E14" s="5" t="n">
        <v>4</v>
      </c>
      <c r="F14" s="6" t="inlineStr">
        <is>
          <t>~62%</t>
        </is>
      </c>
    </row>
    <row r="15">
      <c r="A15" s="5" t="inlineStr">
        <is>
          <t>2.4 Hold槽位字段</t>
        </is>
      </c>
      <c r="B15" s="5" t="n">
        <v>15</v>
      </c>
      <c r="C15" s="5" t="n">
        <v>15</v>
      </c>
      <c r="D15" s="5" t="n">
        <v>0</v>
      </c>
      <c r="E15" s="5" t="n">
        <v>0</v>
      </c>
      <c r="F15" s="7" t="inlineStr">
        <is>
          <t>100%</t>
        </is>
      </c>
    </row>
    <row r="16">
      <c r="A16" s="5" t="inlineStr">
        <is>
          <t>2.5 竞标/销售字段</t>
        </is>
      </c>
      <c r="B16" s="5" t="n">
        <v>3</v>
      </c>
      <c r="C16" s="5" t="n">
        <v>2</v>
      </c>
      <c r="D16" s="5" t="n">
        <v>1</v>
      </c>
      <c r="E16" s="5" t="n">
        <v>0</v>
      </c>
      <c r="F16" s="8" t="inlineStr">
        <is>
          <t>~67%</t>
        </is>
      </c>
    </row>
    <row r="17" ht="18" customHeight="1" s="74">
      <c r="A17" s="5" t="inlineStr">
        <is>
          <t>2.6 贷款属性增强字段</t>
        </is>
      </c>
      <c r="B17" s="5" t="n">
        <v>12</v>
      </c>
      <c r="C17" s="5" t="n">
        <v>9</v>
      </c>
      <c r="D17" s="5" t="n">
        <v>0</v>
      </c>
      <c r="E17" s="5" t="n">
        <v>0</v>
      </c>
      <c r="F17" s="8" t="inlineStr">
        <is>
          <t>~75%</t>
        </is>
      </c>
    </row>
    <row r="18" ht="22" customHeight="1" s="74">
      <c r="A18" s="5" t="inlineStr">
        <is>
          <t>3.1 LM周期字段</t>
        </is>
      </c>
      <c r="B18" s="5" t="n">
        <v>10</v>
      </c>
      <c r="C18" s="5" t="n">
        <v>7</v>
      </c>
      <c r="D18" s="5" t="n">
        <v>0</v>
      </c>
      <c r="E18" s="5" t="n">
        <v>3</v>
      </c>
      <c r="F18" s="8" t="inlineStr">
        <is>
          <t>70%</t>
        </is>
      </c>
    </row>
    <row r="19">
      <c r="A19" s="5" t="inlineStr">
        <is>
          <t>4.1 破产字段</t>
        </is>
      </c>
      <c r="B19" s="5" t="n">
        <v>11</v>
      </c>
      <c r="C19" s="5" t="n">
        <v>8</v>
      </c>
      <c r="D19" s="5" t="n">
        <v>3</v>
      </c>
      <c r="E19" s="5" t="n">
        <v>0</v>
      </c>
      <c r="F19" s="8" t="inlineStr">
        <is>
          <t>~73%</t>
        </is>
      </c>
    </row>
    <row r="20">
      <c r="A20" s="9" t="inlineStr">
        <is>
          <t>合计</t>
        </is>
      </c>
      <c r="B20" s="10" t="n">
        <v>91</v>
      </c>
      <c r="C20" s="10" t="n">
        <v>67</v>
      </c>
      <c r="D20" s="10" t="n">
        <v>12</v>
      </c>
      <c r="E20" s="10" t="n">
        <v>12</v>
      </c>
      <c r="F20" s="6" t="inlineStr">
        <is>
          <t>~74%</t>
        </is>
      </c>
    </row>
    <row r="22">
      <c r="A22" s="1" t="inlineStr">
        <is>
          <t>优先级说明（P0/P1/P2）</t>
        </is>
      </c>
      <c r="B22" s="2" t="n"/>
      <c r="C22" s="2" t="n"/>
      <c r="D22" s="2" t="n"/>
      <c r="E22" s="2" t="n"/>
      <c r="F22" s="3" t="n"/>
    </row>
    <row r="23" ht="18" customHeight="1" s="74">
      <c r="A23" s="118" t="inlineStr">
        <is>
          <t>优先级</t>
        </is>
      </c>
      <c r="B23" s="70" t="n"/>
      <c r="C23" s="70" t="n"/>
      <c r="D23" s="70" t="n"/>
      <c r="E23" s="70" t="n"/>
      <c r="F23" s="71" t="n"/>
    </row>
    <row r="24" ht="65" customHeight="1" s="74">
      <c r="A24" s="11" t="inlineStr">
        <is>
          <t>P0</t>
        </is>
      </c>
      <c r="B24" s="11" t="inlineStr">
        <is>
          <t>系统入库前提条件</t>
        </is>
      </c>
      <c r="C24" s="11" t="inlineStr">
        <is>
          <t>缺失任意一个 → 整条贷款记录被BPS拒绝入库</t>
        </is>
      </c>
      <c r="D24" s="11" t="n"/>
      <c r="E24" s="11" t="n"/>
      <c r="F24" s="11" t="n"/>
    </row>
    <row r="25" ht="65" customHeight="1" s="74">
      <c r="A25" s="12" t="inlineStr">
        <is>
          <t>P1</t>
        </is>
      </c>
      <c r="B25" s="12" t="inlineStr">
        <is>
          <t>核心面板显示字段</t>
        </is>
      </c>
      <c r="C25" s="12" t="inlineStr">
        <is>
          <t>缺失 → 对应BPS面板显示异常或空白（降级可用）</t>
        </is>
      </c>
      <c r="D25" s="12" t="n"/>
      <c r="E25" s="12" t="n"/>
      <c r="F25" s="12" t="n"/>
    </row>
    <row r="26" ht="65" customHeight="1" s="74">
      <c r="A26" s="13" t="inlineStr">
        <is>
          <t>P2</t>
        </is>
      </c>
      <c r="B26" s="13" t="inlineStr">
        <is>
          <t>增强分析字段</t>
        </is>
      </c>
      <c r="C26" s="13" t="inlineStr">
        <is>
          <t>可选；有则启用对应分析功能；缺失不影响主流程</t>
        </is>
      </c>
      <c r="D26" s="13" t="n"/>
      <c r="E26" s="13" t="n"/>
      <c r="F26" s="13" t="n"/>
    </row>
    <row r="28">
      <c r="A28" s="1" t="inlineStr">
        <is>
          <t>状态颜色说明</t>
        </is>
      </c>
      <c r="B28" s="2" t="n"/>
      <c r="C28" s="2" t="n"/>
      <c r="D28" s="2" t="n"/>
      <c r="E28" s="2" t="n"/>
      <c r="F28" s="3" t="n"/>
    </row>
    <row r="29" ht="39" customHeight="1" s="74">
      <c r="A29" s="7" t="inlineStr">
        <is>
          <t>✅ 已提供</t>
        </is>
      </c>
      <c r="B29" s="5" t="inlineStr">
        <is>
          <t>Newrez已提供该字段，填充率达到可接受水平</t>
        </is>
      </c>
      <c r="C29" s="5" t="n"/>
      <c r="D29" s="5" t="n"/>
      <c r="E29" s="5" t="n"/>
      <c r="F29" s="5" t="n"/>
    </row>
    <row r="30" ht="26" customHeight="1" s="74">
      <c r="A30" s="8" t="inlineStr">
        <is>
          <t>⚠️ 部分提供</t>
        </is>
      </c>
      <c r="B30" s="5" t="inlineStr">
        <is>
          <t>字段存在但填充率偏低或有质量问题</t>
        </is>
      </c>
      <c r="C30" s="5" t="n"/>
      <c r="D30" s="5" t="n"/>
      <c r="E30" s="5" t="n"/>
      <c r="F30" s="5" t="n"/>
    </row>
    <row r="31" ht="26" customHeight="1" s="74">
      <c r="A31" s="6" t="inlineStr">
        <is>
          <t>❌ 未提供</t>
        </is>
      </c>
      <c r="B31" s="5" t="inlineStr">
        <is>
          <t>Newrez未提供或字段始终为空（0%）</t>
        </is>
      </c>
      <c r="C31" s="5" t="n"/>
      <c r="D31" s="5" t="n"/>
      <c r="E31" s="5" t="n"/>
      <c r="F31" s="5" t="n"/>
    </row>
    <row r="32" ht="26" customHeight="1" s="74">
      <c r="A32" s="8" t="inlineStr">
        <is>
          <t>🟡 存在缺陷</t>
        </is>
      </c>
      <c r="B32" s="5" t="inlineStr">
        <is>
          <t>字段存在但ETL/配置问题导致不可用</t>
        </is>
      </c>
      <c r="C32" s="5" t="n"/>
      <c r="D32" s="5" t="n"/>
      <c r="E32" s="5" t="n"/>
      <c r="F32" s="5" t="n"/>
    </row>
  </sheetData>
  <mergeCells count="9">
    <mergeCell ref="A2:F2"/>
    <mergeCell ref="C9:F9"/>
    <mergeCell ref="C8:F8"/>
    <mergeCell ref="A1:F1"/>
    <mergeCell ref="A23:F23"/>
    <mergeCell ref="A5:F5"/>
    <mergeCell ref="C6:F6"/>
    <mergeCell ref="C7:F7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3"/>
  <sheetViews>
    <sheetView tabSelected="1" workbookViewId="0">
      <pane xSplit="4" ySplit="2" topLeftCell="I7" activePane="bottomRight" state="frozen"/>
      <selection pane="topRight" activeCell="E1" sqref="E1"/>
      <selection pane="bottomLeft" activeCell="A3" sqref="A3"/>
      <selection pane="bottomRight" activeCell="M14" sqref="M14"/>
    </sheetView>
  </sheetViews>
  <sheetFormatPr baseColWidth="8" defaultRowHeight="14.5"/>
  <cols>
    <col width="5" customWidth="1" style="74" min="1" max="1"/>
    <col width="22" customWidth="1" style="74" min="2" max="2"/>
    <col width="24" customWidth="1" style="74" min="3" max="3"/>
    <col width="38" customWidth="1" style="74" min="4" max="4"/>
    <col width="12" customWidth="1" style="74" min="5" max="5"/>
    <col width="8" customWidth="1" style="74" min="6" max="6"/>
    <col width="48" customWidth="1" style="74" min="7" max="7"/>
    <col width="30" customWidth="1" style="74" min="8" max="8"/>
    <col width="32.6328125" customWidth="1" style="74" min="9" max="9"/>
    <col width="18" customWidth="1" style="74" min="10" max="10"/>
    <col width="28.7265625" customWidth="1" style="74" min="11" max="12"/>
    <col width="52" customWidth="1" style="74" min="12" max="12"/>
    <col width="82" customWidth="1" style="74" min="13" max="13"/>
    <col width="62" customWidth="1" style="74" min="14" max="14"/>
    <col width="31.1796875" customWidth="1" style="74" min="15" max="17"/>
    <col width="72" customWidth="1" style="74" min="18" max="18"/>
    <col width="72" customWidth="1" style="74" min="19" max="19"/>
  </cols>
  <sheetData>
    <row r="1" ht="22" customHeight="1" s="74">
      <c r="A1" s="4" t="inlineStr">
        <is>
          <t>#</t>
        </is>
      </c>
      <c r="B1" s="4" t="inlineStr">
        <is>
          <t>字段组</t>
        </is>
      </c>
      <c r="C1" s="4" t="inlineStr">
        <is>
          <t>标准接口字段</t>
        </is>
      </c>
      <c r="D1" s="4" t="inlineStr">
        <is>
          <t>Newrez原始字段 (完整路径)</t>
        </is>
      </c>
      <c r="E1" s="4" t="inlineStr">
        <is>
          <t>数据类型</t>
        </is>
      </c>
      <c r="F1" s="4" t="inlineStr">
        <is>
          <t>优先级</t>
        </is>
      </c>
      <c r="G1" s="4" t="inlineStr">
        <is>
          <t>业务含义</t>
        </is>
      </c>
      <c r="H1" s="4" t="inlineStr">
        <is>
          <t>格式/计算规则</t>
        </is>
      </c>
      <c r="I1" s="46" t="inlineStr">
        <is>
          <t>标准接口取值范围</t>
        </is>
      </c>
      <c r="J1" s="46" t="inlineStr">
        <is>
          <t>典型取值（标准）</t>
        </is>
      </c>
      <c r="K1" s="4" t="inlineStr">
        <is>
          <t>BPS面板/功能</t>
        </is>
      </c>
      <c r="L1" s="129" t="inlineStr">
        <is>
          <t>Newrez → BPS 规则（doc 13/16）</t>
        </is>
      </c>
      <c r="M1" s="4" t="inlineStr">
        <is>
          <t>Newrez状态</t>
        </is>
      </c>
      <c r="N1" s="125" t="inlineStr">
        <is>
          <t>Newrez验证SQL（取值范围/样例；数据日 2026-06-01）</t>
        </is>
      </c>
      <c r="O1" s="67" t="inlineStr">
        <is>
          <t>Newrez验证结果（数据日 2026-06-01｜实测 2026-06-02）</t>
        </is>
      </c>
      <c r="P1" s="63" t="inlineStr">
        <is>
          <t>人工-Newrez验证结果</t>
        </is>
      </c>
      <c r="Q1" s="63" t="inlineStr">
        <is>
          <t>人工-BPS表验证</t>
        </is>
      </c>
      <c r="R1" s="63" t="inlineStr">
        <is>
          <t>人工-BPS表验证查询结果</t>
        </is>
      </c>
      <c r="S1" s="123" t="inlineStr">
        <is>
          <t>BPS验证SQL（prod 取值；数据日 2026-06-01）</t>
        </is>
      </c>
      <c r="T1" s="123" t="inlineStr">
        <is>
          <t>BPS验证结果（数据日 2026-06-01｜实测 2026-06-04）</t>
        </is>
      </c>
    </row>
    <row r="2" ht="18" customHeight="1" s="74">
      <c r="A2" s="119" t="inlineStr">
        <is>
          <t>Section 2.0 — 四维状态基础字段 — 每个Servicer必须满足的行业标准最小集</t>
        </is>
      </c>
      <c r="B2" s="70" t="n"/>
      <c r="C2" s="70" t="n"/>
      <c r="D2" s="70" t="n"/>
      <c r="E2" s="70" t="n"/>
      <c r="F2" s="70" t="n"/>
      <c r="G2" s="70" t="n"/>
      <c r="H2" s="70" t="n"/>
      <c r="I2" s="70" t="n"/>
      <c r="J2" s="71" t="n"/>
      <c r="K2" s="2" t="n"/>
      <c r="M2" s="3" t="n"/>
    </row>
    <row r="3" ht="40" customHeight="1" s="74">
      <c r="A3" s="11" t="n">
        <v>1</v>
      </c>
      <c r="B3" s="11" t="inlineStr">
        <is>
          <t>2.0 四维状态基础字段 — 每个Se</t>
        </is>
      </c>
      <c r="C3" s="14" t="inlineStr">
        <is>
          <t>delinquency_status</t>
        </is>
      </c>
      <c r="D3" s="15" t="inlineStr">
        <is>
          <t>newrez.portnewrezgeneral.delinquency_status_mba</t>
        </is>
      </c>
      <c r="E3" s="11" t="inlineStr">
        <is>
          <t>VARCHAR ENUM</t>
        </is>
      </c>
      <c r="F3" s="11" t="inlineStr">
        <is>
          <t>P0</t>
        </is>
      </c>
      <c r="G3" s="11" t="inlineStr">
        <is>
          <t>MBA标准违约状态文本枚举；FCL/LM/BK状态识别的核心「维度A」字段；Servicer必须使用枚举文本，禁止数字格式（如'29.0'）</t>
        </is>
      </c>
      <c r="H3" s="11" t="inlineStr">
        <is>
          <t>MBA枚举文本，如'Foreclosure'/'120-149 DPD'；禁止数字字符串</t>
        </is>
      </c>
      <c r="I3" s="64" t="inlineStr">
        <is>
          <t>MBA标准文本枚举（Servicer传输层）：
Current
1-29 DPD
30-59 DPD
60-89 DPD
90-119 DPD
120-149 DPD
150-179 DPD
180+ DPD
Foreclosure
Foreclosure / Perf BK
Foreclosure / Non-Perf BK
REO
Performing Bankruptcy
Non-Performing Bankruptcy
Full Payoff
REO Sale
3rd Party Sale
Service Release
Settlement（共19种；禁止数字串如'29.0'；完整映射见doc 08 / doc 14 允许值表）</t>
        </is>
      </c>
      <c r="J3" s="47" t="inlineStr">
        <is>
          <t>Foreclosure</t>
        </is>
      </c>
      <c r="K3" s="11" t="inlineStr">
        <is>
          <t>ETL入库过滤 / FCL状态判断 / BPS所有面板</t>
        </is>
      </c>
      <c r="L3" s="130" t="inlineStr">
        <is>
          <t>N/A — 四维状态，不经 BPS FCL 同步表</t>
        </is>
      </c>
      <c r="M3" s="7" t="inlineStr">
        <is>
          <t>✅ 已提供 (12K+ active FCL行)</t>
        </is>
      </c>
      <c r="N3" s="126" t="inlineStr">
        <is>
          <t>-- 验证 delinquency_status 取值范围
-- 源表: newrez.portnewrezgeneral | 运行于: mysql_dev
-- 快照表：已固定 dataasof='2026-06-01' 过滤（与 BPS 数据日对齐，复跑结果不变；计数=该日真实贷款分布，非全历史快照行数）
SELECT dataasof AS data_date, delinquency_status_mba AS val, COUNT(*) AS cnt
FROM   newrez.portnewrezgeneral
WHERE  dataasof = '2026-06-01'
  AND  delinquency_status_mba IS NOT NULL AND delinquency_status_mba != ''
GROUP  BY dataasof, delinquency_status_mba ORDER BY cnt DESC LIMIT 30;</t>
        </is>
      </c>
      <c r="O3" s="68" t="inlineStr">
        <is>
          <t>[data_date 2026-06-01] 1-29 DPD:2161 | Current:2053 | Full Payoff:678 | 30-59 DPD:64 | Foreclosure:30 | 60-89 DPD:18 | 90-119 DPD:10 | 120-149 DPD:8 | REO:5 | Service Release:4 | Performing Bankruptcy:4 | Foreclosure / Non-Perf BK:3 | 3rd Party Sale:3 | Non-Performing Bankruptcy:3 | Foreclosure / Perf BK:3 | 180+ DPD:2 | Settlement:1 | REO Sale:1 | 150-179 DPD:1</t>
        </is>
      </c>
      <c r="P3" s="57" t="inlineStr">
        <is>
          <t>2026-05-31	Current	4204
2026-05-31	Full Payoff	678
2026-05-31	30-59 DPD	72
2026-05-31	Foreclosure	31
2026-05-31	60-89 DPD	19
2026-05-31	90-119 DPD	11
2026-05-31	120-149 DPD	8
2026-05-31	REO	5
2026-05-31	Performing Bankruptcy	5
2026-05-31	Service Release	4
2026-05-31	3rd Party Sale	3
2026-05-31	Foreclosure / Perf BK	3
2026-05-31	Foreclosure / Non-Perf BK	2
2026-05-31	Non-Performing Bankruptcy	2
2026-05-31	180+ DPD	2
2026-05-31	Settlement	1
2026-05-31	REO Sale	1
2026-05-31	150-179 DPD	1</t>
        </is>
      </c>
      <c r="S3" s="124" t="inlineStr">
        <is>
          <t>-- N/A — BPS FCL 同步表不存逾期状态（四维状态在 BPS 他处）</t>
        </is>
      </c>
      <c r="T3" s="124" t="inlineStr">
        <is>
          <t>N/A — 不映射到 BPS FCL 同步表（见左侧说明）</t>
        </is>
      </c>
    </row>
    <row r="4" ht="40" customHeight="1" s="74">
      <c r="A4" s="11" t="n">
        <v>2</v>
      </c>
      <c r="B4" s="11" t="inlineStr">
        <is>
          <t>2.0 四维状态基础字段 — 每个Se</t>
        </is>
      </c>
      <c r="C4" s="14" t="inlineStr">
        <is>
          <t>next_payment_due_date</t>
        </is>
      </c>
      <c r="D4" s="15" t="inlineStr">
        <is>
          <t>newrez.portnewrezpmt.nextduedate</t>
        </is>
      </c>
      <c r="E4" s="11" t="inlineStr">
        <is>
          <t>DATE</t>
        </is>
      </c>
      <c r="F4" s="11" t="inlineStr">
        <is>
          <t>P0</t>
        </is>
      </c>
      <c r="G4" s="11" t="inlineStr">
        <is>
          <t>下一次付款到期日；ETL通过days360(nextduedate, dataasof)计算逾期天数；当delinquency_status缺失时的备用来源</t>
        </is>
      </c>
      <c r="H4" s="11" t="inlineStr">
        <is>
          <t>YYYY-MM-DD</t>
        </is>
      </c>
      <c r="I4" s="47" t="inlineStr">
        <is>
          <t>YYYY-MM-DD</t>
        </is>
      </c>
      <c r="J4" s="47" t="inlineStr">
        <is>
          <t>2024-03-01</t>
        </is>
      </c>
      <c r="K4" s="11" t="inlineStr">
        <is>
          <t>DPD衍生计算基础</t>
        </is>
      </c>
      <c r="L4" s="130" t="inlineStr">
        <is>
          <t>N/A — 不入 BPS FCL 同步表</t>
        </is>
      </c>
      <c r="M4" s="7" t="inlineStr">
        <is>
          <t>✅ 100% (active FCL，MCP验证)</t>
        </is>
      </c>
      <c r="N4" s="126" t="inlineStr">
        <is>
          <t>-- 验证 next_payment_due_date 取值样例（最新快照取10笔，快速查看字段的样子）
-- 源表: newrez.portnewrezpmt | 运行于: mysql_dev
SELECT loanid, dataasof, nextduedate
FROM   newrez.portnewrezpmt
WHERE  dataasof = '2026-06-01'
  AND  nextduedate IS NOT NULL
LIMIT  10;</t>
        </is>
      </c>
      <c r="O4" s="68" t="inlineStr">
        <is>
          <t>[data_date 2026-06-01] 2026-06-01 | 2026-06-01 | 2026-07-01 | 2025-10-01 | 2024-07-01 | 2026-07-01 | 2026-06-01 | 2026-06-01 | 2026-07-01 | 2025-11-01（10笔）</t>
        </is>
      </c>
      <c r="P4" s="57" t="inlineStr">
        <is>
          <t>700082700000027	2026-05-31	2026-06-01
700082700000004	2026-05-31	2026-06-01
700082700000014	2026-05-31	2026-07-01
700082700000016	2026-05-31	2025-10-01
700082700000003	2026-05-31	2024-07-01
700082700000011	2026-05-31	2026-06-01
700082880000126	2026-05-31	2026-06-01
700082700000026	2026-05-31	2026-06-01
700082700000005	2026-05-31	2026-06-01
700082700000013	2026-05-31	2025-11-01</t>
        </is>
      </c>
      <c r="S4" s="124" t="inlineStr">
        <is>
          <t>-- N/A — BPS FCL 同步表无此字段</t>
        </is>
      </c>
      <c r="T4" s="124" t="inlineStr">
        <is>
          <t>N/A — 不映射到 BPS FCL 同步表（见左侧说明）</t>
        </is>
      </c>
    </row>
    <row r="5" ht="40" customHeight="1" s="74">
      <c r="A5" s="12" t="n">
        <v>3</v>
      </c>
      <c r="B5" s="12" t="inlineStr">
        <is>
          <t>2.0 四维状态基础字段 — 每个Se</t>
        </is>
      </c>
      <c r="C5" s="16" t="inlineStr">
        <is>
          <t>days_past_due</t>
        </is>
      </c>
      <c r="D5" s="17" t="inlineStr">
        <is>
          <t>— (ETL衍生)</t>
        </is>
      </c>
      <c r="E5" s="12" t="inlineStr">
        <is>
          <t>INTEGER</t>
        </is>
      </c>
      <c r="F5" s="12" t="inlineStr">
        <is>
          <t>P1</t>
        </is>
      </c>
      <c r="G5" s="12" t="inlineStr">
        <is>
          <t>数字逾期天数；Newrez无原生DPD天数字段；ETL计算：days360(nextduedate, dataasof)；mbadelinquency为月数不可直接用</t>
        </is>
      </c>
      <c r="H5" s="12" t="inlineStr">
        <is>
          <t>ETL衍生：days360(nextduedate, dataasof)；0–999正整数</t>
        </is>
      </c>
      <c r="I5" s="48" t="inlineStr">
        <is>
          <t>0~999 正整数（ETL衍生：days360(nextduedate, dataasof)）</t>
        </is>
      </c>
      <c r="J5" s="48" t="inlineStr">
        <is>
          <t>215</t>
        </is>
      </c>
      <c r="K5" s="12" t="inlineStr">
        <is>
          <t>交叉验证 delinquency_status</t>
        </is>
      </c>
      <c r="L5" s="131" t="inlineStr">
        <is>
          <t>N/A — ETL 衍生 days360(nextduedate,dataasof)，不入 BPS FCL 同步表</t>
        </is>
      </c>
      <c r="M5" s="18" t="inlineStr">
        <is>
          <t>N/A 衍生字段</t>
        </is>
      </c>
      <c r="N5" s="127" t="inlineStr">
        <is>
          <t>-- N/A ETL衍生（days360(nextduedate,dataasof)）；替代验证源 nextduedate（最新快照取10笔样例）
-- 源表: newrez.portnewrezpmt | 运行于: mysql_dev
SELECT loanid, dataasof, nextduedate
FROM   newrez.portnewrezpmt
WHERE  dataasof = '2026-06-01'
  AND  nextduedate IS NOT NULL
LIMIT  10;</t>
        </is>
      </c>
      <c r="O5" s="68" t="inlineStr">
        <is>
          <t>[data_date 2026-06-01] 2026-06-01 | 2026-06-01 | 2026-07-01 | 2025-10-01 | 2024-07-01 | 2026-07-01 | 2026-06-01 | 2026-06-01 | 2026-07-01 | 2025-11-01（10笔）</t>
        </is>
      </c>
      <c r="S5" s="124" t="inlineStr">
        <is>
          <t>-- N/A — ETL 衍生，BPS FCL 同步表无此字段</t>
        </is>
      </c>
      <c r="T5" s="124" t="inlineStr">
        <is>
          <t>N/A — 不映射到 BPS FCL 同步表（见左侧说明）</t>
        </is>
      </c>
    </row>
    <row r="6" ht="40" customHeight="1" s="74">
      <c r="A6" s="11" t="n">
        <v>4</v>
      </c>
      <c r="B6" s="11" t="inlineStr">
        <is>
          <t>2.0 四维状态基础字段 — 每个Se</t>
        </is>
      </c>
      <c r="C6" s="14" t="inlineStr">
        <is>
          <t>foreclosure_flag</t>
        </is>
      </c>
      <c r="D6" s="15" t="inlineStr">
        <is>
          <t>— (Newrez无fcl_flag列；FCL活跃状态见 activefcflag / active_fcl_flag)</t>
        </is>
      </c>
      <c r="E6" s="11" t="inlineStr">
        <is>
          <t>CHAR(1)</t>
        </is>
      </c>
      <c r="F6" s="11" t="inlineStr">
        <is>
          <t>P0</t>
        </is>
      </c>
      <c r="G6" s="11" t="inlineStr">
        <is>
          <t>是否已正式启动FCL法律程序的Y/N标志；不得从days_past_due&gt;120天推导；对应BPS active_fcl_flag</t>
        </is>
      </c>
      <c r="H6" s="11" t="inlineStr">
        <is>
          <t>Y / N</t>
        </is>
      </c>
      <c r="I6" s="47" t="inlineStr">
        <is>
          <t>Y / N</t>
        </is>
      </c>
      <c r="J6" s="47" t="inlineStr">
        <is>
          <t>Y</t>
        </is>
      </c>
      <c r="K6" s="11" t="inlineStr">
        <is>
          <t>FCL入库条件 / BPS active_fcl_flag</t>
        </is>
      </c>
      <c r="L6" s="130" t="inlineStr">
        <is>
          <t>N/A — 无 fcl_flag；FCL 活跃性见 active_fcl_flag→summary_completed_foreclosure</t>
        </is>
      </c>
      <c r="M6" s="8" t="inlineStr">
        <is>
          <t>🟡 Newrez 无独立 fcl_flag 列（DB 实测）；FCL 活跃状态由 activefcflag 表达——最新快照实测 0/1 正常填充（非 null）。原"ETL 置 null"说法系针对不存在的 fcl_flag，已更正</t>
        </is>
      </c>
      <c r="N6" s="128" t="inlineStr">
        <is>
          <t>-- N/A Newrez无fcl_flag列；FCL活跃状态由 activefcflag 表达
-- 快照表：已固定 dataasof='2026-06-01' 过滤（与 BPS 数据日对齐，复跑结果不变；计数=该日真实贷款分布，非全历史快照行数）
-- 源表: newrez.portnewrezfc | 运行于: mysql_dev
SELECT dataasof AS data_date, activefcflag, COUNT(*) AS cnt
FROM   newrez.portnewrezfc
WHERE  dataasof = '2026-06-01'
GROUP  BY dataasof, activefcflag ORDER BY cnt DESC;</t>
        </is>
      </c>
      <c r="O6" s="68" t="inlineStr">
        <is>
          <t>[data_date 2026-06-01] 0:5016 | 1:36</t>
        </is>
      </c>
      <c r="P6" s="57" t="inlineStr">
        <is>
          <t>2026-05-31	0	5016
2026-05-31	1	36</t>
        </is>
      </c>
      <c r="S6" s="124" t="inlineStr">
        <is>
          <t>-- N/A — 无 fcl_flag；活跃性见 active_fcl_flag→summary_completed_foreclosure</t>
        </is>
      </c>
      <c r="T6" s="124" t="inlineStr">
        <is>
          <t>N/A — 不映射到 BPS FCL 同步表（见左侧说明）</t>
        </is>
      </c>
    </row>
    <row r="7" ht="40" customHeight="1" s="74">
      <c r="A7" s="11" t="n">
        <v>5</v>
      </c>
      <c r="B7" s="11" t="inlineStr">
        <is>
          <t>2.0 四维状态基础字段 — 每个Se</t>
        </is>
      </c>
      <c r="C7" s="14" t="inlineStr">
        <is>
          <t>lm_flag</t>
        </is>
      </c>
      <c r="D7" s="15" t="inlineStr">
        <is>
          <t>newrez.portnewrezlm.activelmflag</t>
        </is>
      </c>
      <c r="E7" s="11" t="inlineStr">
        <is>
          <t>CHAR(1)</t>
        </is>
      </c>
      <c r="F7" s="11" t="inlineStr">
        <is>
          <t>P0</t>
        </is>
      </c>
      <c r="G7" s="11" t="inlineStr">
        <is>
          <t>当前是否有活跃LM项目的顶层Y/N标志；ETL用此字段路由LM处理流程；独立于FCL维度</t>
        </is>
      </c>
      <c r="H7" s="11" t="inlineStr">
        <is>
          <t>Y / N</t>
        </is>
      </c>
      <c r="I7" s="47" t="inlineStr">
        <is>
          <t>Y / N</t>
        </is>
      </c>
      <c r="J7" s="47" t="inlineStr">
        <is>
          <t>Y</t>
        </is>
      </c>
      <c r="K7" s="11" t="inlineStr">
        <is>
          <t>LM处理路由 / BPS LM Cycle面板路由</t>
        </is>
      </c>
      <c r="L7" s="130" t="inlineStr">
        <is>
          <t>N/A — 无独立 flag；LM 存在性 = loss_mitigation 表是否有行</t>
        </is>
      </c>
      <c r="M7" s="8" t="inlineStr">
        <is>
          <t>✅ 已提供（activelmflag，最新快照 100% 填充 0/1、无 null；实测 0:5018 | 1:34）。以 0/1 表达需映射 Y/N；为 LM 周期表层标志，类型/起止日见 lm_type / lm_start_date / lm_end_date</t>
        </is>
      </c>
      <c r="N7" s="128" t="inlineStr">
        <is>
          <t>-- 验证 lm_flag 取值范围
-- 源表: newrez.portnewrezlm | 运行于: mysql_dev
-- 快照表：已固定 dataasof='2026-06-01' 过滤（与 BPS 数据日对齐，复跑结果不变；计数=该日真实贷款分布，非全历史快照行数）
SELECT dataasof AS data_date, activelmflag, COUNT(*) AS cnt
FROM   newrez.portnewrezlm
WHERE  dataasof = '2026-06-01'
GROUP  BY dataasof, activelmflag ORDER BY cnt DESC;</t>
        </is>
      </c>
      <c r="O7" s="68" t="inlineStr">
        <is>
          <t>[data_date 2026-06-01] 0:5019 | 1:33</t>
        </is>
      </c>
      <c r="P7" s="57" t="inlineStr">
        <is>
          <t>2026-05-31	0	5018
2026-05-31	1	34</t>
        </is>
      </c>
      <c r="Q7" s="57" t="inlineStr">
        <is>
          <t xml:space="preserve">
select summary_foreclosure_status, COUNT(*) AS cnt
FROM   bpms_dev.sync_loan_foreclosure
GROUP  BY summary_foreclosure_status ORDER BY cnt DESC;</t>
        </is>
      </c>
      <c r="R7" s="57" t="inlineStr">
        <is>
          <t>Active Foreclosure	43
Closed Foreclosure:Reinstated	21
Closed Foreclosure:Loss Mitigation	15
Closed Foreclosure:Paid in Full	10
Closed Foreclosure:Process Complete	3
1. First Legal Pending	2
Closed Foreclosure:Deed in Lieu Cmplte	1
5. Sales Held	1
	1
2. First Legal Filed	1</t>
        </is>
      </c>
      <c r="S7" s="124" t="inlineStr">
        <is>
          <t>-- N/A — 无独立 flag；LM 存在性=loss_mitigation 表是否有行</t>
        </is>
      </c>
      <c r="T7" s="124" t="inlineStr">
        <is>
          <t>N/A — 不映射到 BPS FCL 同步表（见左侧说明）</t>
        </is>
      </c>
    </row>
    <row r="8" ht="68" customHeight="1" s="74">
      <c r="A8" s="12" t="n">
        <v>6</v>
      </c>
      <c r="B8" s="12" t="inlineStr">
        <is>
          <t>2.0 四维状态基础字段 — 每个Se</t>
        </is>
      </c>
      <c r="C8" s="16" t="inlineStr">
        <is>
          <t>lm_type</t>
        </is>
      </c>
      <c r="D8" s="17" t="inlineStr">
        <is>
          <t>— (无字段；Newrez提供newrez.portnewrezlm.lmdeal数字代码)</t>
        </is>
      </c>
      <c r="E8" s="12" t="inlineStr">
        <is>
          <t>VARCHAR ENUM</t>
        </is>
      </c>
      <c r="F8" s="12" t="inlineStr">
        <is>
          <t>P1</t>
        </is>
      </c>
      <c r="G8" s="12" t="inlineStr">
        <is>
          <t>标准化LM类型枚举；影响系统处理逻辑；Newrez通过lmdeal数字代码提供，需ETL解码</t>
        </is>
      </c>
      <c r="H8" s="12" t="inlineStr">
        <is>
          <t>Newrez lmdeal 整数码解码为 deal 大类（8）：Evaluation/Modification/Forbearance/Payment Plan/Deferment/Short Sale/DIL/Payoff；Trial Period Plan 属 program 层（Modification 试行），非独立 deal</t>
        </is>
      </c>
      <c r="I8" s="65" t="inlineStr">
        <is>
          <t>Evaluation
Modification
Forbearance
Payment Plan
Deferment
Short Sale
DIL
Payoff</t>
        </is>
      </c>
      <c r="J8" s="48" t="inlineStr">
        <is>
          <t>Modification</t>
        </is>
      </c>
      <c r="K8" s="12" t="inlineStr">
        <is>
          <t>LM类型路由</t>
        </is>
      </c>
      <c r="L8" s="131" t="inlineStr">
        <is>
          <t>整数码 lmdeal 经 portnewrezdatadic 解码为文本（如 7→DIL）→ deal</t>
        </is>
      </c>
      <c r="M8" s="6" t="inlineStr">
        <is>
          <t>❌ Newrez 不直接提供标准 lm_type 文本；以 lmdeal 整数码提供，ETL 解码为上述 8 个 deal（见 lm_deal 行；解码源 Redshift portnewrezdatadic）</t>
        </is>
      </c>
      <c r="N8" s="120" t="inlineStr">
        <is>
          <t>-- 验证 lm_type 取值范围（整数码 → BPS 解码文本）
-- 源表: newrez.portnewrezlm JOIN bpms_dev.sync_loan_foreclosure_loss_mitigation
-- 运行于: mysql_bpms_dev（跨库 JOIN）| 详见 doc 数据字典 SQL-D1~D6
-- 快照表：CTE 取每个 LM 周期的最新快照（latest-snapshot-per-cycle）
WITH latest_lm AS (
  SELECT loanid, dealstartdate, lmdeal,
         ROW_NUMBER() OVER (PARTITION BY loanid, dealstartdate ORDER BY dataasof DESC) AS rn
  FROM newrez.portnewrezlm WHERE lmdeal IS NOT NULL AND dataasof &lt;= '2026-06-01'
)
SELECT l.lmdeal, b.deal, COUNT(*) AS cnt
FROM   latest_lm l
JOIN   bpms_dev.sync_loan_foreclosure_loss_mitigation b
  ON   l.loanid = b.loanid AND l.dealstartdate = b.cycle_opened_date
WHERE  l.rn = 1
  AND  b.deal IS NOT NULL AND b.deal != '' AND b.deal NOT REGEXP '^[0-9]'
GROUP  BY l.lmdeal, b.deal ORDER BY l.lmdeal, cnt DESC;</t>
        </is>
      </c>
      <c r="O8" s="68" t="inlineStr">
        <is>
          <t>1 Modification:194 | 1 Evaluation:2 | 2 Evaluation:104 | 4 Payment Plan:37 | 5 Forbearance:51 | 6 Short Sale:9 | 7 DIL:10 | 9 Payoff:1 | 11 Deferment:50</t>
        </is>
      </c>
      <c r="P8" s="57" t="inlineStr">
        <is>
          <t>1	Modification	194
1	Evaluation	2
2	Evaluation	104
4	Payment Plan	37
5	Forbearance	51
6	Short Sale	9
7	DIL	10
9	Payoff	1
11	Deferment	50</t>
        </is>
      </c>
      <c r="S8" s="124" t="inlineStr">
        <is>
          <t>-- 验证 BPS deal 取值（dist）— 标准 lm_type ⇐ BPS deal（lmdeal 解码文本）
-- 表: bpms.sync_loan_foreclosure_loss_mitigation | 运行于: mysql_prod（只读）
-- as-of: 业务快照 fctrdt≤2026-06-01（与 Newrez 源同日）；ETL 载入≈2026-06-03
SELECT '2026-06-01' AS data_date, `deal` AS val, COUNT(*) AS cnt
FROM   bpms.sync_loan_foreclosure_loss_mitigation
GROUP  BY `deal` ORDER BY cnt DESC;</t>
        </is>
      </c>
      <c r="T8" s="124" t="inlineStr">
        <is>
          <t>[BPS prod·数据日 fctrdt≤2026-06-01·ETL载入 2026-06-03] Modification:207 | Evaluation:115 | ∅NULL:72 | Forbearance:57 | Deferment:56 | Payment Plan:39 | Short Sale:12 | DIL:10 | Payoff:1</t>
        </is>
      </c>
    </row>
    <row r="9" ht="40" customHeight="1" s="74">
      <c r="A9" s="12" t="n">
        <v>7</v>
      </c>
      <c r="B9" s="12" t="inlineStr">
        <is>
          <t>2.0 四维状态基础字段 — 每个Se</t>
        </is>
      </c>
      <c r="C9" s="16" t="inlineStr">
        <is>
          <t>lm_start_date</t>
        </is>
      </c>
      <c r="D9" s="17" t="inlineStr">
        <is>
          <t>newrez.portnewrezlm.dealstartdate</t>
        </is>
      </c>
      <c r="E9" s="12" t="inlineStr">
        <is>
          <t>DATE</t>
        </is>
      </c>
      <c r="F9" s="12" t="inlineStr">
        <is>
          <t>P1</t>
        </is>
      </c>
      <c r="G9" s="12" t="inlineStr">
        <is>
          <t>LM项目开始日（顶层摘要）；来源：portnewrezlm周期表的dealstartdate</t>
        </is>
      </c>
      <c r="H9" s="12" t="inlineStr">
        <is>
          <t>YYYY-MM-DD</t>
        </is>
      </c>
      <c r="I9" s="48" t="inlineStr">
        <is>
          <t>YYYY-MM-DD</t>
        </is>
      </c>
      <c r="J9" s="48" t="inlineStr">
        <is>
          <t>2024-01-15</t>
        </is>
      </c>
      <c r="K9" s="12" t="inlineStr">
        <is>
          <t>LM周期开始日</t>
        </is>
      </c>
      <c r="L9" s="131" t="inlineStr">
        <is>
          <t>直接取值（dealstartdate → cycle_opened_date）</t>
        </is>
      </c>
      <c r="M9" s="8" t="inlineStr">
        <is>
          <t>🟡 周期级dealstartdate可用</t>
        </is>
      </c>
      <c r="N9" s="128" t="inlineStr">
        <is>
          <t>-- 验证 lm_start_date 取值样例（最新快照取10笔，快速查看字段的样子）
-- 源表: newrez.portnewrezlm | 运行于: mysql_dev
SELECT loanid, dataasof, dealstartdate
FROM   newrez.portnewrezlm
WHERE  dataasof = '2026-06-01'
  AND  dealstartdate IS NOT NULL
LIMIT  10;</t>
        </is>
      </c>
      <c r="O9" s="68" t="inlineStr">
        <is>
          <t>[data_date 2026-06-01] 2025-09-18 | 2026-04-28 | 2026-03-06 | 2025-07-18 | 2025-05-23 | 2025-09-19 | 2025-11-05 | 2025-12-10 | 2026-02-25 | 2026-03-31（10笔）</t>
        </is>
      </c>
      <c r="S9" s="124" t="inlineStr">
        <is>
          <t>-- 验证 BPS cycle_opened_date 取值（date）
-- 表: bpms.sync_loan_foreclosure_loss_mitigation | 运行于: mysql_prod（只读）
-- as-of: 业务快照 fctrdt≤2026-06-01（与 Newrez 源同日）；ETL 载入≈2026-06-03
SELECT '2026-06-01' AS data_date, COUNT(*) AS total, COUNT(`cycle_opened_date`) AS non_null,
       MIN(`cycle_opened_date`) AS min_dt, MAX(`cycle_opened_date`) AS max_dt
FROM   bpms.sync_loan_foreclosure_loss_mitigation;</t>
        </is>
      </c>
      <c r="T9" s="124" t="inlineStr">
        <is>
          <t>[BPS prod·数据日 fctrdt≤2026-06-01·ETL载入 2026-06-03] 非空 568/569 · 区间 2020-08-17~2026-06-01</t>
        </is>
      </c>
    </row>
    <row r="10" ht="40" customHeight="1" s="74">
      <c r="A10" s="12" t="n">
        <v>8</v>
      </c>
      <c r="B10" s="12" t="inlineStr">
        <is>
          <t>2.0 四维状态基础字段 — 每个Se</t>
        </is>
      </c>
      <c r="C10" s="16" t="inlineStr">
        <is>
          <t>lm_end_date</t>
        </is>
      </c>
      <c r="D10" s="17" t="inlineStr">
        <is>
          <t>newrez.portnewrezlm.lmremovaldate</t>
        </is>
      </c>
      <c r="E10" s="12" t="inlineStr">
        <is>
          <t>DATE</t>
        </is>
      </c>
      <c r="F10" s="12" t="inlineStr">
        <is>
          <t>P1</t>
        </is>
      </c>
      <c r="G10" s="12" t="inlineStr">
        <is>
          <t>LM项目到期/结束日（顶层摘要）；到期是否续签是关键决策点</t>
        </is>
      </c>
      <c r="H10" s="12" t="inlineStr">
        <is>
          <t>YYYY-MM-DD</t>
        </is>
      </c>
      <c r="I10" s="48" t="inlineStr">
        <is>
          <t>YYYY-MM-DD（空=进行中）</t>
        </is>
      </c>
      <c r="J10" s="48" t="inlineStr">
        <is>
          <t>2024-06-30</t>
        </is>
      </c>
      <c r="K10" s="12" t="inlineStr">
        <is>
          <t>LM周期结束日</t>
        </is>
      </c>
      <c r="L10" s="131" t="inlineStr">
        <is>
          <t>直接取值（lmremovaldate → cycle_closed_date；NULL=进行中）</t>
        </is>
      </c>
      <c r="M10" s="8" t="inlineStr">
        <is>
          <t>🟡 周期级lmremovaldate可用</t>
        </is>
      </c>
      <c r="N10" s="128" t="inlineStr">
        <is>
          <t>-- 验证 lm_end_date 取值样例（最新快照取10笔，快速查看字段的样子）
-- 源表: newrez.portnewrezlm | 运行于: mysql_dev
SELECT loanid, dataasof, lmremovaldate
FROM   newrez.portnewrezlm
WHERE  dataasof = '2026-06-01'
  AND  lmremovaldate IS NOT NULL
LIMIT  10;</t>
        </is>
      </c>
      <c r="O10" s="68" t="inlineStr">
        <is>
          <t>[data_date 2026-06-01] 2025-11-07 | 2026-05-03 | 2026-05-08 | 2026-05-20 | 2025-12-03 | 2026-05-07 | 2026-05-01 | 2025-09-08 | 2025-05-27 | 2025-09-29（10笔）</t>
        </is>
      </c>
      <c r="S10" s="124" t="inlineStr">
        <is>
          <t>-- 验证 BPS cycle_closed_date 取值（date）
-- 表: bpms.sync_loan_foreclosure_loss_mitigation | 运行于: mysql_prod（只读）
-- as-of: 业务快照 fctrdt≤2026-06-01（与 Newrez 源同日）；ETL 载入≈2026-06-03
SELECT '2026-06-01' AS data_date, COUNT(*) AS total, COUNT(`cycle_closed_date`) AS non_null,
       MIN(`cycle_closed_date`) AS min_dt, MAX(`cycle_closed_date`) AS max_dt
FROM   bpms.sync_loan_foreclosure_loss_mitigation;</t>
        </is>
      </c>
      <c r="T10" s="124" t="inlineStr">
        <is>
          <t>[BPS prod·数据日 fctrdt≤2026-06-01·ETL载入 2026-06-03] 非空 511/569 · 区间 2020-09-22~2026-06-01</t>
        </is>
      </c>
    </row>
    <row r="11" ht="40" customHeight="1" s="74">
      <c r="A11" s="12" t="n">
        <v>9</v>
      </c>
      <c r="B11" s="12" t="inlineStr">
        <is>
          <t>2.0 四维状态基础字段 — 每个Se</t>
        </is>
      </c>
      <c r="C11" s="16" t="inlineStr">
        <is>
          <t>hold_flag</t>
        </is>
      </c>
      <c r="D11" s="17" t="inlineStr">
        <is>
          <t>— (无独立顶层字段)</t>
        </is>
      </c>
      <c r="E11" s="12" t="inlineStr">
        <is>
          <t>CHAR(1)</t>
        </is>
      </c>
      <c r="F11" s="12" t="inlineStr">
        <is>
          <t>P1</t>
        </is>
      </c>
      <c r="G11" s="12" t="inlineStr">
        <is>
          <t>FCL是否处于暂停（Hold）状态的顶层Y/N标志；可由fchold1startdate IS NOT NULL推导，但非正式标志</t>
        </is>
      </c>
      <c r="H11" s="12" t="inlineStr">
        <is>
          <t>Y / N</t>
        </is>
      </c>
      <c r="I11" s="48" t="inlineStr">
        <is>
          <t>Y / N</t>
        </is>
      </c>
      <c r="J11" s="48" t="inlineStr">
        <is>
          <t>Y</t>
        </is>
      </c>
      <c r="K11" s="12" t="inlineStr">
        <is>
          <t>Hold状态判断</t>
        </is>
      </c>
      <c r="L11" s="131" t="inlineStr">
        <is>
          <t>N/A — 无独立 flag；Hold 存在性 = hold 表是否有行</t>
        </is>
      </c>
      <c r="M11" s="6" t="inlineStr">
        <is>
          <t>❌ 无独立顶层标志（可从fchold1startdate推导）</t>
        </is>
      </c>
      <c r="N11" s="120" t="inlineStr">
        <is>
          <t>-- N/A 无独立顶层 Hold flag；可从 fchold1startdate 推导（最新快照计数）
-- 快照表：已固定 dataasof='2026-06-01' 过滤（与 BPS 数据日对齐，复跑结果不变；计数=该日真实贷款分布，非全历史快照行数）
-- 源表: newrez.portnewrezfc | 运行于: mysql_dev
SELECT '2026-06-01' AS data_date, COUNT(*) AS hold_loans
FROM   newrez.portnewrezfc
WHERE  dataasof = '2026-06-01'
  AND  fchold1startdate IS NOT NULL;</t>
        </is>
      </c>
      <c r="O11" s="68" t="inlineStr">
        <is>
          <t>[data_date 2026-06-01] hold_loans=89</t>
        </is>
      </c>
      <c r="S11" s="124" t="inlineStr">
        <is>
          <t>-- N/A — 无独立 flag；Hold 存在性=hold 表是否有行</t>
        </is>
      </c>
      <c r="T11" s="124" t="inlineStr">
        <is>
          <t>N/A — 不映射到 BPS FCL 同步表（见左侧说明）</t>
        </is>
      </c>
    </row>
    <row r="12" ht="40" customHeight="1" s="74">
      <c r="A12" s="12" t="n">
        <v>10</v>
      </c>
      <c r="B12" s="12" t="inlineStr">
        <is>
          <t>2.0 四维状态基础字段 — 每个Se</t>
        </is>
      </c>
      <c r="C12" s="16" t="inlineStr">
        <is>
          <t>hold_reason</t>
        </is>
      </c>
      <c r="D12" s="17" t="inlineStr">
        <is>
          <t>newrez.portnewrezfc.fchold1description</t>
        </is>
      </c>
      <c r="E12" s="12" t="inlineStr">
        <is>
          <t>VARCHAR ENUM</t>
        </is>
      </c>
      <c r="F12" s="12" t="inlineStr">
        <is>
          <t>P1</t>
        </is>
      </c>
      <c r="G12" s="12" t="inlineStr">
        <is>
          <t>标准化暂停原因枚举；Newrez提供自由文本（如'Loss Mitigation Workout'/'Court Delay'），未标准化</t>
        </is>
      </c>
      <c r="H12" s="12" t="inlineStr">
        <is>
          <t>枚举：BK/LM/HUD/Covid/Other</t>
        </is>
      </c>
      <c r="I12" s="65" t="inlineStr">
        <is>
          <t>BK
LM
HUD
Covid
Other</t>
        </is>
      </c>
      <c r="J12" s="48" t="inlineStr">
        <is>
          <t>BK</t>
        </is>
      </c>
      <c r="K12" s="12" t="inlineStr">
        <is>
          <t>Hold原因标准化</t>
        </is>
      </c>
      <c r="L12" s="131" t="inlineStr">
        <is>
          <t>3 槽位 fchold1/2/3description UNPIVOT 合并 → description</t>
        </is>
      </c>
      <c r="M12" s="6" t="inlineStr">
        <is>
          <t>❌ 自由文本（fchold1description：Loss Mitigation Workout | Court Delay 等，非标准枚举）</t>
        </is>
      </c>
      <c r="N12" s="120" t="inlineStr">
        <is>
          <t>-- 验证 hold_reason 取值范围
-- 源表: newrez.portnewrezfc | 运行于: mysql_dev
-- 快照表：已固定 dataasof='2026-06-01' 过滤（与 BPS 数据日对齐，复跑结果不变；计数=该日真实贷款分布，非全历史快照行数）
SELECT dataasof AS data_date, fchold1description AS val, COUNT(*) AS cnt
FROM   newrez.portnewrezfc
WHERE  dataasof = '2026-06-01'
  AND  fchold1description IS NOT NULL AND fchold1description != ''
GROUP  BY dataasof, fchold1description ORDER BY cnt DESC LIMIT 30;</t>
        </is>
      </c>
      <c r="O12" s="68" t="inlineStr">
        <is>
          <t>[data_date 2026-06-01] Loss Mitigation Workout:21 | Awaiting Funds to Post:16 | Delinquency Review:12 | Bankruptcy Filed:6 | Hearing Set:4 | Court Delay:4 | Client Document Execution:4 | Service Delay:4 | Note Possession Confirmation:3 | Title Resolution:3 | Original Note:2 | Allonge of Note:1 | Service By Publication:1 | Guaranty Agreement:1 | Demand Letter Review:1 | Awaiting Escrow Analysis:1 | Moratorium:1 | Mediation Hearing:1 | FC Payment Research/Dispute:1 | ACT(PA) Letter/Demand Letter/NOI Expiration:1 | Original Assignment:1</t>
        </is>
      </c>
      <c r="S12" s="124" t="inlineStr">
        <is>
          <t>-- 验证 BPS description 取值（dist）— 3 槽位 UNPIVOT 合并入 description
-- 表: bpms.sync_loan_foreclosure_hold | 运行于: mysql_prod（只读）
-- as-of: 业务快照 fctrdt≤2026-06-01（与 Newrez 源同日）；ETL 载入≈2026-06-03
SELECT '2026-06-01' AS data_date, `description` AS val, COUNT(*) AS cnt
FROM   bpms.sync_loan_foreclosure_hold
GROUP  BY `description` ORDER BY cnt DESC;</t>
        </is>
      </c>
      <c r="T12" s="124" t="inlineStr">
        <is>
          <t>[BPS prod·数据日 fctrdt≤2026-06-01·ETL载入 2026-06-03] Loss Mitigation Workout:63 | Service Delay:48 | ∅NULL:44 | Client Document Execution:29 | Court Delay:23 | Awaiting Funds to Post:20 | ACT(PA) Letter/Demand Letter/NOI Expiration:18 | Hearing Set:17 | Mediation Hearing:13 | Delinquency Review:11 | Original Note:10 | Title Resolution:9 | Note Possession Confirmation:8 | Bankruptcy Filed:8 | Copy of Power of Attorney:7 | Copy of Payment History:5 | Original Assignment:5 | Demand Letter Review:4 | Service By Publication:4 | Copy of Periodic Statement:4 | Pending Prior Servicer Doc(s):2 | Awaiting Escrow Analysis:2 | Soldiers and Sailors Relief Act:2 | Allonge of Note:2 | FC Payment Research/Dispute:2 | +15 个取值各1笔:15</t>
        </is>
      </c>
    </row>
    <row r="13" ht="40" customHeight="1" s="74">
      <c r="A13" s="11" t="n">
        <v>11</v>
      </c>
      <c r="B13" s="11" t="inlineStr">
        <is>
          <t>2.0 四维状态基础字段 — 每个Se</t>
        </is>
      </c>
      <c r="C13" s="14" t="inlineStr">
        <is>
          <t>reo_flag</t>
        </is>
      </c>
      <c r="D13" s="15" t="inlineStr">
        <is>
          <t>— (无字段)</t>
        </is>
      </c>
      <c r="E13" s="11" t="inlineStr">
        <is>
          <t>CHAR(1)</t>
        </is>
      </c>
      <c r="F13" s="11" t="inlineStr">
        <is>
          <t>P0</t>
        </is>
      </c>
      <c r="G13" s="11" t="inlineStr">
        <is>
          <t>FCL已完成、房产现为REO（由贷款人持有）的明确Y/N标志；Newrez缺少专用REO标志</t>
        </is>
      </c>
      <c r="H13" s="11" t="inlineStr">
        <is>
          <t>Y / N</t>
        </is>
      </c>
      <c r="I13" s="47" t="inlineStr">
        <is>
          <t>Y / N</t>
        </is>
      </c>
      <c r="J13" s="47" t="inlineStr">
        <is>
          <t>Y</t>
        </is>
      </c>
      <c r="K13" s="11" t="inlineStr">
        <is>
          <t>REO状态标志</t>
        </is>
      </c>
      <c r="L13" s="130" t="inlineStr">
        <is>
          <t>N/A — 无独立 REO flag（可由 fcresults 间接识别）</t>
        </is>
      </c>
      <c r="M13" s="6" t="inlineStr">
        <is>
          <t>❌ 0% (未提供)</t>
        </is>
      </c>
      <c r="N13" s="120" t="inlineStr">
        <is>
          <t>-- N/A Newrez未提供独立 REO flag；可用 fcresults 间接识别
-- 快照表：已固定 dataasof='2026-06-01' 过滤（与 BPS 数据日对齐，复跑结果不变；计数=该日真实贷款分布，非全历史快照行数）
-- 源表: newrez.portnewrezfc | 运行于: mysql_dev
SELECT dataasof AS data_date, fcresults, COUNT(*) AS cnt
FROM   newrez.portnewrezfc
WHERE  dataasof = '2026-06-01'
  AND  fcresults IN ('REO','REO Sale')
GROUP  BY dataasof, fcresults;</t>
        </is>
      </c>
      <c r="O13" s="68" t="inlineStr">
        <is>
          <t>[data_date 2026-06-01] REO:6</t>
        </is>
      </c>
      <c r="S13" s="124" t="inlineStr">
        <is>
          <t>-- N/A — 无独立 REO flag</t>
        </is>
      </c>
      <c r="T13" s="124" t="inlineStr">
        <is>
          <t>N/A — 不映射到 BPS FCL 同步表（见左侧说明）</t>
        </is>
      </c>
    </row>
    <row r="14" ht="40" customHeight="1" s="74">
      <c r="A14" s="12" t="n">
        <v>12</v>
      </c>
      <c r="B14" s="12" t="inlineStr">
        <is>
          <t>2.0 四维状态基础字段 — 每个Se</t>
        </is>
      </c>
      <c r="C14" s="16" t="inlineStr">
        <is>
          <t>reo_acquisition_date</t>
        </is>
      </c>
      <c r="D14" s="17" t="inlineStr">
        <is>
          <t>— (无字段)</t>
        </is>
      </c>
      <c r="E14" s="12" t="inlineStr">
        <is>
          <t>DATE</t>
        </is>
      </c>
      <c r="F14" s="12" t="inlineStr">
        <is>
          <t>P1</t>
        </is>
      </c>
      <c r="G14" s="12" t="inlineStr">
        <is>
          <t>房产正式转移给贷款人成为REO的日期；影响REO持有期计算；Newrez未提供</t>
        </is>
      </c>
      <c r="H14" s="12" t="inlineStr">
        <is>
          <t>YYYY-MM-DD</t>
        </is>
      </c>
      <c r="I14" s="48" t="inlineStr">
        <is>
          <t>YYYY-MM-DD</t>
        </is>
      </c>
      <c r="J14" s="48" t="inlineStr">
        <is>
          <t>2024-05-01</t>
        </is>
      </c>
      <c r="K14" s="12" t="inlineStr">
        <is>
          <t>REO持有期计算</t>
        </is>
      </c>
      <c r="L14" s="131" t="inlineStr">
        <is>
          <t>N/A — 无独立 REO 取得日（可参考 dtdeedrecorded）</t>
        </is>
      </c>
      <c r="M14" s="6" t="inlineStr">
        <is>
          <t>❌ 0% (未提供)</t>
        </is>
      </c>
      <c r="N14" s="120" t="inlineStr">
        <is>
          <t>-- N/A Newrez未提供独立 REO 取得日；可参考 dtdeedrecorded=止赎契据登记日（成交后产权转让契据在县登记处登记=产权过户/止赎完成点，约在拍卖 fcsalehelddate 后 2-3 周，多数→REO），近似 REO 取得日（最新快照取10笔样例）
-- 源表: newrez.portnewrezfc | 运行于: mysql_dev
SELECT loanid, dataasof, dtdeedrecorded
FROM   newrez.portnewrezfc
WHERE  dataasof = '2026-06-01'
  AND  dtdeedrecorded IS NOT NULL
LIMIT  10;</t>
        </is>
      </c>
      <c r="O14" s="68" t="inlineStr">
        <is>
          <t>[data_date 2026-06-01] 2026-04-28 | 2026-05-22 | 2025-10-28 | 2025-11-12（4笔）</t>
        </is>
      </c>
      <c r="S14" s="124" t="inlineStr">
        <is>
          <t>-- N/A — 无独立 REO 取得日列</t>
        </is>
      </c>
      <c r="T14" s="124" t="inlineStr">
        <is>
          <t>N/A — 不映射到 BPS FCL 同步表（见左侧说明）</t>
        </is>
      </c>
    </row>
    <row r="15" ht="18" customHeight="1" s="74">
      <c r="A15" s="119" t="inlineStr">
        <is>
          <t>Section 2.1 — 贷款识别与入库过滤字段 — P0必填，任意缺失=贷款被BPS拒绝</t>
        </is>
      </c>
      <c r="B15" s="70" t="n"/>
      <c r="C15" s="70" t="n"/>
      <c r="D15" s="70" t="n"/>
      <c r="E15" s="70" t="n"/>
      <c r="F15" s="70" t="n"/>
      <c r="G15" s="70" t="n"/>
      <c r="H15" s="70" t="n"/>
      <c r="I15" s="70" t="n"/>
      <c r="J15" s="71" t="n"/>
      <c r="K15" s="2" t="n"/>
      <c r="M15" s="3" t="n"/>
    </row>
    <row r="16" ht="40" customHeight="1" s="74">
      <c r="A16" s="11" t="n">
        <v>13</v>
      </c>
      <c r="B16" s="11" t="inlineStr">
        <is>
          <t>2.1 贷款识别与入库过滤字段 — P</t>
        </is>
      </c>
      <c r="C16" s="14" t="inlineStr">
        <is>
          <t>loan_id</t>
        </is>
      </c>
      <c r="D16" s="15" t="inlineStr">
        <is>
          <t>newrez.portnewrezfc.loanid</t>
        </is>
      </c>
      <c r="E16" s="11" t="inlineStr">
        <is>
          <t>VARCHAR</t>
        </is>
      </c>
      <c r="F16" s="11" t="inlineStr">
        <is>
          <t>P0</t>
        </is>
      </c>
      <c r="G16" s="11" t="inlineStr">
        <is>
          <t>全局唯一数字贷款ID；BPS所有面板和表的跨系统JOIN主键</t>
        </is>
      </c>
      <c r="H16" s="11" t="inlineStr">
        <is>
          <t>数字字符串；全局主键</t>
        </is>
      </c>
      <c r="I16" s="47" t="inlineStr">
        <is>
          <t>纯数字字符串</t>
        </is>
      </c>
      <c r="J16" s="47" t="inlineStr">
        <is>
          <t>7727000088</t>
        </is>
      </c>
      <c r="K16" s="11" t="inlineStr">
        <is>
          <t>全部面板（全局JOIN主键）</t>
        </is>
      </c>
      <c r="L16" s="130" t="inlineStr">
        <is>
          <t>直接取值（loanid）</t>
        </is>
      </c>
      <c r="M16" s="7" t="inlineStr">
        <is>
          <t>✅ 100%</t>
        </is>
      </c>
      <c r="N16" s="126" t="inlineStr">
        <is>
          <t>-- 验证 loan_id 取值样例（最新快照取10笔，快速查看字段的样子）
-- 源表: newrez.portnewrezfc | 运行于: mysql_dev
SELECT loanid, dataasof
FROM   newrez.portnewrezfc
WHERE  dataasof = '2026-06-01'
  AND  loanid IS NOT NULL AND loanid != ''
LIMIT  10;</t>
        </is>
      </c>
      <c r="O16" s="68" t="inlineStr">
        <is>
          <t>700082700000027 | 700082700000004 | 700082700000014 | 700082700000016 | 700082700000003 | 700082700000011 | 700082880000126 | 700082700000026 | 700082700000005 | 700082700000013（10行）</t>
        </is>
      </c>
      <c r="S16" s="124" t="inlineStr">
        <is>
          <t>-- 验证 BPS loanid 取值（idtext）
-- 表: bpms.sync_loan_foreclosure | 运行于: mysql_prod（只读）
-- as-of: 主表无 dataasof/fctrdt（upsert，update_time 实测全 NULL）；ETL 载入≈2026-06-03（取自 sync_fcl_stage_info.update_time）
SELECT '2026-06-01' AS data_date, `loanid`
FROM   bpms.sync_loan_foreclosure
WHERE  `loanid` IS NOT NULL AND `loanid` != ''
LIMIT  5;</t>
        </is>
      </c>
      <c r="T16" s="124" t="inlineStr">
        <is>
          <t>[BPS prod·数据日 2026-06-01(主表无嵌入,同 ETL 周期 Newrez 源日)·ETL载入 2026-06-03] 样例(前5): 7727000012 | 7727000065 | 7727000082 | 7727000088 | 7727000119</t>
        </is>
      </c>
    </row>
    <row r="17" ht="40" customHeight="1" s="74">
      <c r="A17" s="11" t="n">
        <v>14</v>
      </c>
      <c r="B17" s="11" t="inlineStr">
        <is>
          <t>2.1 贷款识别与入库过滤字段 — P</t>
        </is>
      </c>
      <c r="C17" s="14" t="inlineStr">
        <is>
          <t>servicer_loan_id</t>
        </is>
      </c>
      <c r="D17" s="15" t="inlineStr">
        <is>
          <t>newrez.portnewrezfc.shellpointloanid</t>
        </is>
      </c>
      <c r="E17" s="11" t="inlineStr">
        <is>
          <t>VARCHAR</t>
        </is>
      </c>
      <c r="F17" s="11" t="inlineStr">
        <is>
          <t>P0</t>
        </is>
      </c>
      <c r="G17" s="11" t="inlineStr">
        <is>
          <t>Servicer内部贷款号；与loan_id不同维度；用于双向跨系统对账</t>
        </is>
      </c>
      <c r="H17" s="11" t="inlineStr">
        <is>
          <t>Servicer内部编号</t>
        </is>
      </c>
      <c r="I17" s="47" t="inlineStr">
        <is>
          <t>Servicer内部编号（格式随Servicer）</t>
        </is>
      </c>
      <c r="J17" s="47" t="inlineStr">
        <is>
          <t>NR-2024-001234</t>
        </is>
      </c>
      <c r="K17" s="11" t="inlineStr">
        <is>
          <t>FCL Summary &gt; summary_servicer_number</t>
        </is>
      </c>
      <c r="L17" s="130" t="inlineStr">
        <is>
          <t>直接取值（shellpointloanid → summary_servicer_number）</t>
        </is>
      </c>
      <c r="M17" s="7" t="inlineStr">
        <is>
          <t>✅ 100%</t>
        </is>
      </c>
      <c r="N17" s="126" t="inlineStr">
        <is>
          <t>-- 验证 servicer_loan_id 取值样例（最新快照取10笔，快速查看字段的样子）
-- 源表: newrez.portnewrezfc | 运行于: mysql_dev
SELECT loanid, dataasof, shellpointloanid
FROM   newrez.portnewrezfc
WHERE  dataasof = '2026-06-01'
  AND  shellpointloanid IS NOT NULL AND shellpointloanid != ''
LIMIT  10;</t>
        </is>
      </c>
      <c r="O17" s="68" t="inlineStr">
        <is>
          <t>[data_date 2026-06-01] 9799754446 | 9798424553 | 9796670868 | 9796285410 | 9792903412 | 9787544114 | 9779201442 | 9776836927 | 9776762263 | 9770660612（10笔）</t>
        </is>
      </c>
      <c r="S17" s="124" t="inlineStr">
        <is>
          <t>-- 验证 BPS summary_servicer_number 取值（idtext）— =shellpointloanid
-- 表: bpms.sync_loan_foreclosure | 运行于: mysql_prod（只读）
-- as-of: 主表无 dataasof/fctrdt（upsert，update_time 实测全 NULL）；ETL 载入≈2026-06-03（取自 sync_fcl_stage_info.update_time）
SELECT '2026-06-01' AS data_date, `summary_servicer_number`
FROM   bpms.sync_loan_foreclosure
WHERE  `summary_servicer_number` IS NOT NULL AND `summary_servicer_number` != ''
LIMIT  5;</t>
        </is>
      </c>
      <c r="T17" s="124" t="inlineStr">
        <is>
          <t>[BPS prod·数据日 2026-06-01(主表无嵌入,同 ETL 周期 Newrez 源日)·ETL载入 2026-06-03] 全为空（prod 未填充）</t>
        </is>
      </c>
    </row>
    <row r="18" ht="40" customHeight="1" s="74">
      <c r="A18" s="11" t="n">
        <v>15</v>
      </c>
      <c r="B18" s="11" t="inlineStr">
        <is>
          <t>2.1 贷款识别与入库过滤字段 — P</t>
        </is>
      </c>
      <c r="C18" s="14" t="inlineStr">
        <is>
          <t>data_as_of_date</t>
        </is>
      </c>
      <c r="D18" s="15" t="inlineStr">
        <is>
          <t>newrez.portnewrezfc.dataasof</t>
        </is>
      </c>
      <c r="E18" s="11" t="inlineStr">
        <is>
          <t>DATE</t>
        </is>
      </c>
      <c r="F18" s="11" t="inlineStr">
        <is>
          <t>P0</t>
        </is>
      </c>
      <c r="G18" s="11" t="inlineStr">
        <is>
          <t>本批次数据快照截止日（通常比今天落后1-2天）；BPS实时修正：smsdaysinfc + DATEDIFF(今日NY, dataasof)</t>
        </is>
      </c>
      <c r="H18" s="11" t="inlineStr">
        <is>
          <t>YYYY-MM-DD</t>
        </is>
      </c>
      <c r="I18" s="47" t="inlineStr">
        <is>
          <t>YYYY-MM-DD</t>
        </is>
      </c>
      <c r="J18" s="47" t="inlineStr">
        <is>
          <t>2026-05-27</t>
        </is>
      </c>
      <c r="K18" s="11" t="inlineStr">
        <is>
          <t>实时天数修正基础</t>
        </is>
      </c>
      <c r="L18" s="130" t="inlineStr">
        <is>
          <t>N/A — 主表无 dataasof 列（覆盖式快照）</t>
        </is>
      </c>
      <c r="M18" s="7" t="inlineStr">
        <is>
          <t>✅ 100%</t>
        </is>
      </c>
      <c r="N18" s="126" t="inlineStr">
        <is>
          <t>-- 验证 data_as_of_date 取值样例（最新快照取10笔，快速查看字段的样子）
-- 源表: newrez.portnewrezfc | 运行于: mysql_dev
SELECT loanid, dataasof, dataasof
FROM   newrez.portnewrezfc
WHERE  dataasof = '2026-06-01'
  AND  dataasof IS NOT NULL
LIMIT  10;</t>
        </is>
      </c>
      <c r="O18" s="68" t="inlineStr">
        <is>
          <t>700082700000027 | 700082700000004 | 700082700000014 | 700082700000016 | 700082700000003 | 700082700000011 | 700082880000126 | 700082700000026 | 700082700000005 | 700082700000013（10行）</t>
        </is>
      </c>
      <c r="S18" s="124" t="inlineStr">
        <is>
          <t>-- N/A — 主表无 dataasof 列（覆盖式快照）</t>
        </is>
      </c>
      <c r="T18" s="124" t="inlineStr">
        <is>
          <t>N/A — 不映射到 BPS FCL 同步表（见左侧说明）</t>
        </is>
      </c>
    </row>
    <row r="19" ht="40" customHeight="1" s="74">
      <c r="A19" s="11" t="n">
        <v>16</v>
      </c>
      <c r="B19" s="11" t="inlineStr">
        <is>
          <t>2.1 贷款识别与入库过滤字段 — P</t>
        </is>
      </c>
      <c r="C19" s="14" t="inlineStr">
        <is>
          <t>state</t>
        </is>
      </c>
      <c r="D19" s="15" t="inlineStr">
        <is>
          <t>newrez.portnewrezprop.propertystate</t>
        </is>
      </c>
      <c r="E19" s="11" t="inlineStr">
        <is>
          <t>CHAR(2)</t>
        </is>
      </c>
      <c r="F19" s="11" t="inlineStr">
        <is>
          <t>P0</t>
        </is>
      </c>
      <c r="G19" s="11" t="inlineStr">
        <is>
          <t>房产所在州两位大写代码；决定适用的止赎法律（Judicial/Non-Judicial）及BPS各阶段目标天数配置</t>
        </is>
      </c>
      <c r="H19" s="11" t="inlineStr">
        <is>
          <t>美国州代码（大写），如'CA'/'FL'</t>
        </is>
      </c>
      <c r="I19" s="47" t="inlineStr">
        <is>
          <t>US 2字母州代码（大写）</t>
        </is>
      </c>
      <c r="J19" s="47" t="inlineStr">
        <is>
          <t>FL</t>
        </is>
      </c>
      <c r="K19" s="11" t="inlineStr">
        <is>
          <t>阶段分类 / 目标天数配置</t>
        </is>
      </c>
      <c r="L19" s="130" t="inlineStr">
        <is>
          <t>直接取值（propertystate → sync_fcl_stage_info.state）</t>
        </is>
      </c>
      <c r="M19" s="7" t="inlineStr">
        <is>
          <t>✅ 100%</t>
        </is>
      </c>
      <c r="N19" s="126" t="inlineStr">
        <is>
          <t>-- 验证 state 取值范围
-- 源表: newrez.portnewrezprop | 运行于: mysql_dev
-- 快照表：已固定 dataasof='2026-06-01' 过滤（与 BPS 数据日对齐，复跑结果不变；计数=该日真实贷款分布，非全历史快照行数）
SELECT dataasof AS data_date, propertystate AS val, COUNT(*) AS cnt
FROM   newrez.portnewrezprop
WHERE  dataasof = '2026-06-01'
  AND  propertystate IS NOT NULL AND propertystate != ''
GROUP  BY dataasof, propertystate ORDER BY cnt DESC LIMIT 30;</t>
        </is>
      </c>
      <c r="O19" s="68" t="inlineStr">
        <is>
          <t>[data_date 2026-06-01] CA:794 | FL:617 | TX:395 | IL:331 | OH:257 | NY:210 | AZ:181 | NJ:167 | PA:167 | GA:159 | NC:158 | MN:137 | MI:107 | CO:101 | TN:99 | VA:97 | MD:86 | MO:84 | WA:79 | MA:77 | NV:75 | OR:65 | CT:65 | SC:65 | UT:53 | IN:47 | AL:46 | RI:38 | HI:29 | AR:27</t>
        </is>
      </c>
      <c r="S19" s="124" t="inlineStr">
        <is>
          <t>-- 验证 BPS state 取值（dist）— 主表无 state；BPS state 存于 sync_fcl_stage_info
-- 表: bpms.sync_fcl_stage_info | 运行于: mysql_prod（只读）
-- as-of: sync_fcl_stage_info 最新 fctrdt=2026-06-01；ETL 载入 update_time=2026-06-03
SELECT '2026-06-01' AS data_date, `state` AS val, COUNT(*) AS cnt
FROM   bpms.sync_fcl_stage_info
GROUP  BY `state` ORDER BY cnt DESC;</t>
        </is>
      </c>
      <c r="T19" s="124" t="inlineStr">
        <is>
          <t>[BPS prod·数据日 fctrdt=2026-06-01·ETL载入 2026-06-03] FL:1510 | NY:1225 | IL:1075 | CA:983 | AZ:669 | IN:332 | TX:324 | CO:296 | PA:288 | WA:262 | OR:221 | MT:179 | MD:149 | NC:123 | OH:118 | MN:78 | MI:77 | NJ:74 | SC:70 | MA:68 | RI:55 | TN:47 | GA:40 | +其余州:0</t>
        </is>
      </c>
    </row>
    <row r="20" ht="40" customHeight="1" s="74">
      <c r="A20" s="11" t="n">
        <v>17</v>
      </c>
      <c r="B20" s="11" t="inlineStr">
        <is>
          <t>2.1 贷款识别与入库过滤字段 — P</t>
        </is>
      </c>
      <c r="C20" s="14" t="inlineStr">
        <is>
          <t>judicial_flag</t>
        </is>
      </c>
      <c r="D20" s="15" t="inlineStr">
        <is>
          <t>newrez.portnewrezfc.judicial</t>
        </is>
      </c>
      <c r="E20" s="11" t="inlineStr">
        <is>
          <t>TINYINT</t>
        </is>
      </c>
      <c r="F20" s="11" t="inlineStr">
        <is>
          <t>P0</t>
        </is>
      </c>
      <c r="G20" s="11" t="inlineStr">
        <is>
          <t>止赎是否需要法院判决才能拍卖；影响JUDGEMENT阶段路由及Timeline字段含义</t>
        </is>
      </c>
      <c r="H20" s="11" t="inlineStr">
        <is>
          <t>1=Judicial司法州 / 0=Non-Judicial非司法州</t>
        </is>
      </c>
      <c r="I20" s="47" t="inlineStr">
        <is>
          <t>1（Judicial州）/ 0（Non-Judicial州）</t>
        </is>
      </c>
      <c r="J20" s="47" t="inlineStr">
        <is>
          <t>1</t>
        </is>
      </c>
      <c r="K20" s="11" t="inlineStr">
        <is>
          <t>FCL Summary &gt; summary_judicial_foreclosure / JUDGEMENT阶段路由</t>
        </is>
      </c>
      <c r="L20" s="130" t="inlineStr">
        <is>
          <t>judicial=1→'Judicial'，=0→'Non Judicial'，NULL→NULL（summary_type）；summary_judicial_foreclosure 直接取布尔</t>
        </is>
      </c>
      <c r="M20" s="7" t="inlineStr">
        <is>
          <t>✅ 100%</t>
        </is>
      </c>
      <c r="N20" s="126" t="inlineStr">
        <is>
          <t>-- 验证 judicial_flag 取值范围
-- 源表: newrez.portnewrezfc | 运行于: mysql_dev
-- 快照表：已固定 dataasof='2026-06-01' 过滤（与 BPS 数据日对齐，复跑结果不变；计数=该日真实贷款分布，非全历史快照行数）
SELECT dataasof AS data_date, judicial, COUNT(*) AS cnt
FROM   newrez.portnewrezfc
WHERE  dataasof = '2026-06-01'
GROUP  BY dataasof, judicial ORDER BY cnt DESC;</t>
        </is>
      </c>
      <c r="O20" s="68" t="inlineStr">
        <is>
          <t>[data_date 2026-06-01] NULL:4953 | 0:51 | 1:48</t>
        </is>
      </c>
      <c r="S20" s="124" t="inlineStr">
        <is>
          <t>-- 验证 BPS summary_judicial_foreclosure 取值（binary）
-- 表: bpms.sync_loan_foreclosure | 运行于: mysql_prod（只读）
-- as-of: 主表无 dataasof/fctrdt（upsert，update_time 实测全 NULL）；ETL 载入≈2026-06-03（取自 sync_fcl_stage_info.update_time）
SELECT '2026-06-01' AS data_date, `summary_judicial_foreclosure` AS val, COUNT(*) AS cnt
FROM   bpms.sync_loan_foreclosure
GROUP  BY `summary_judicial_foreclosure` ORDER BY cnt DESC;</t>
        </is>
      </c>
      <c r="T20" s="124" t="inlineStr">
        <is>
          <t>[BPS prod·数据日 2026-06-01(主表无嵌入,同 ETL 周期 Newrez 源日)·ETL载入 2026-06-03] 0:43 | 1:34 | ∅NULL:12</t>
        </is>
      </c>
    </row>
    <row r="21" ht="40" customHeight="1" s="74">
      <c r="A21" s="11" t="n">
        <v>18</v>
      </c>
      <c r="B21" s="11" t="inlineStr">
        <is>
          <t>2.1 贷款识别与入库过滤字段 — P</t>
        </is>
      </c>
      <c r="C21" s="14" t="inlineStr">
        <is>
          <t>active_fcl_flag</t>
        </is>
      </c>
      <c r="D21" s="15" t="inlineStr">
        <is>
          <t>newrez.portnewrezfc.activefcflag</t>
        </is>
      </c>
      <c r="E21" s="11" t="inlineStr">
        <is>
          <t>TINYINT</t>
        </is>
      </c>
      <c r="F21" s="11" t="inlineStr">
        <is>
          <t>P0</t>
        </is>
      </c>
      <c r="G21" s="11" t="inlineStr">
        <is>
          <t>FCL 是否处于活跃止赎流程；1=活跃止赎中，0=当前不处于活跃止赎（BPS 统称 Closed Foreclosure，含完成/撤销/复议/付清，非都已完成）；历史 NULL 须 NULL-safe 处理（保守视为 1）</t>
        </is>
      </c>
      <c r="H21" s="11" t="inlineStr">
        <is>
          <t>取自 Newrez activefcflag：如果 activefcflag=1 则 = 1（活跃止赎中）；如果 activefcflag=0 则 = 0（当前不处于活跃止赎流程，BPS 统称 Closed Foreclosure，含完成/撤销/复议/付清，并非都已完成）；历史 NULL 保守视为 1</t>
        </is>
      </c>
      <c r="I21" s="47" t="inlineStr">
        <is>
          <t>1（活跃止赎中）/ 0（当前不处于活跃止赎流程；含已完成 REO/3rd Party/DiL 或已退出 Reinstated/Loss Mitigation/Paid in Full）；NULL 保守视为 1</t>
        </is>
      </c>
      <c r="J21" s="47" t="inlineStr">
        <is>
          <t>1</t>
        </is>
      </c>
      <c r="K21" s="11" t="inlineStr">
        <is>
          <t>BPS入库条件（NULL-safe处理）</t>
        </is>
      </c>
      <c r="L21" s="130" t="inlineStr">
        <is>
          <t>summary_completed_foreclosure = activefcflag 取反（=0→1，=1→0）；prod 实测该列全 NULL</t>
        </is>
      </c>
      <c r="M21" s="7" t="inlineStr">
        <is>
          <t>✅ 100% (含历史NULL，需NULL-safe处理)</t>
        </is>
      </c>
      <c r="N21" s="126" t="inlineStr">
        <is>
          <t>-- 验证 active_fcl_flag 取值范围
-- 源表: newrez.portnewrezfc | 运行于: mysql_dev
-- 快照表：已固定 dataasof='2026-06-01' 过滤（与 BPS 数据日对齐，复跑结果不变；计数=该日真实贷款分布，非全历史快照行数）
SELECT dataasof AS data_date, activefcflag, COUNT(*) AS cnt
FROM   newrez.portnewrezfc
WHERE  dataasof = '2026-06-01'
GROUP  BY dataasof, activefcflag ORDER BY cnt DESC;</t>
        </is>
      </c>
      <c r="O21" s="68" t="inlineStr">
        <is>
          <t>[data_date 2026-06-01] 0:5016 | 1:36</t>
        </is>
      </c>
      <c r="S21" s="124" t="inlineStr">
        <is>
          <t>-- 验证 BPS summary_completed_foreclosure 取值（binary）— BPS=activefcflag 取反；prod 实测全 NULL（异常，见结果）
-- 表: bpms.sync_loan_foreclosure | 运行于: mysql_prod（只读）
-- as-of: 主表无 dataasof/fctrdt（upsert，update_time 实测全 NULL）；ETL 载入≈2026-06-03（取自 sync_fcl_stage_info.update_time）
SELECT '2026-06-01' AS data_date, `summary_completed_foreclosure` AS val, COUNT(*) AS cnt
FROM   bpms.sync_loan_foreclosure
GROUP  BY `summary_completed_foreclosure` ORDER BY cnt DESC;</t>
        </is>
      </c>
      <c r="T21" s="124" t="inlineStr">
        <is>
          <t>[BPS prod·数据日 2026-06-01(主表无嵌入,同 ETL 周期 Newrez 源日)·ETL载入 2026-06-03] ∅NULL:89</t>
        </is>
      </c>
    </row>
    <row r="22" ht="40" customHeight="1" s="74">
      <c r="A22" s="11" t="n">
        <v>19</v>
      </c>
      <c r="B22" s="11" t="inlineStr">
        <is>
          <t>2.1 贷款识别与入库过滤字段 — P</t>
        </is>
      </c>
      <c r="C22" s="14" t="inlineStr">
        <is>
          <t>fcl_referral_date</t>
        </is>
      </c>
      <c r="D22" s="15" t="inlineStr">
        <is>
          <t>newrez.portnewrezfc.fcreferraldate</t>
        </is>
      </c>
      <c r="E22" s="11" t="inlineStr">
        <is>
          <t>DATE</t>
        </is>
      </c>
      <c r="F22" s="11" t="inlineStr">
        <is>
          <t>P0</t>
        </is>
      </c>
      <c r="G22" s="11" t="inlineStr">
        <is>
          <t>贷款人将止赎案件移交律师事务所的日期；BPS入库核心条件（非空才收录）；FCL时间轴的法律起点</t>
        </is>
      </c>
      <c r="H22" s="11" t="inlineStr">
        <is>
          <t>YYYY-MM-DD；非空为BPS入库前提</t>
        </is>
      </c>
      <c r="I22" s="47" t="inlineStr">
        <is>
          <t>YYYY-MM-DD</t>
        </is>
      </c>
      <c r="J22" s="47" t="inlineStr">
        <is>
          <t>2024-01-20</t>
        </is>
      </c>
      <c r="K22" s="11" t="inlineStr">
        <is>
          <t>Timeline &gt; timeline_referred_to_foreclosure_date / BPS入库核心条件</t>
        </is>
      </c>
      <c r="L22" s="130" t="inlineStr">
        <is>
          <t>直接取值（fcreferraldate → timeline_referred_to_foreclosure_date；入库过滤字段）</t>
        </is>
      </c>
      <c r="M22" s="7" t="inlineStr">
        <is>
          <t>✅ 100%</t>
        </is>
      </c>
      <c r="N22" s="126" t="inlineStr">
        <is>
          <t>-- 验证 fcl_referral_date 取值样例（最新快照取10笔，快速查看字段的样子）
-- 源表: newrez.portnewrezfc | 运行于: mysql_dev
SELECT loanid, dataasof, fcreferraldate
FROM   newrez.portnewrezfc
WHERE  dataasof = '2026-06-01'
  AND  fcreferraldate IS NOT NULL
LIMIT  10;</t>
        </is>
      </c>
      <c r="O22" s="68" t="inlineStr">
        <is>
          <t>[data_date 2026-06-01] 2025-02-18 | 2025-10-09 | 2026-05-26 | 2026-03-05 | 2026-01-28 | 2026-03-16 | 2026-01-29 | 2026-05-22 | 2026-05-26 | 2026-01-20（10笔）</t>
        </is>
      </c>
      <c r="S22" s="124" t="inlineStr">
        <is>
          <t>-- 验证 BPS timeline_referred_to_foreclosure_date 取值（date）— 入库过滤字段
-- 表: bpms.sync_loan_foreclosure | 运行于: mysql_prod（只读）
-- as-of: 主表无 dataasof/fctrdt（upsert，update_time 实测全 NULL）；ETL 载入≈2026-06-03（取自 sync_fcl_stage_info.update_time）
SELECT '2026-06-01' AS data_date, COUNT(*) AS total, COUNT(`timeline_referred_to_foreclosure_date`) AS non_null,
       MIN(`timeline_referred_to_foreclosure_date`) AS min_dt, MAX(`timeline_referred_to_foreclosure_date`) AS max_dt
FROM   bpms.sync_loan_foreclosure;</t>
        </is>
      </c>
      <c r="T22" s="124" t="inlineStr">
        <is>
          <t>[BPS prod·数据日 2026-06-01(主表无嵌入,同 ETL 周期 Newrez 源日)·ETL载入 2026-06-03] 非空 89/89 · 区间 2018-08-15~2026-05-27</t>
        </is>
      </c>
    </row>
    <row r="23" ht="18" customHeight="1" s="74">
      <c r="A23" s="119" t="inlineStr">
        <is>
          <t>Section 2.2 — FCL状态字段 — P1，FCL Summary面板核心</t>
        </is>
      </c>
      <c r="B23" s="70" t="n"/>
      <c r="C23" s="70" t="n"/>
      <c r="D23" s="70" t="n"/>
      <c r="E23" s="70" t="n"/>
      <c r="F23" s="70" t="n"/>
      <c r="G23" s="70" t="n"/>
      <c r="H23" s="70" t="n"/>
      <c r="I23" s="70" t="n"/>
      <c r="J23" s="71" t="n"/>
      <c r="K23" s="2" t="n"/>
      <c r="M23" s="3" t="n"/>
    </row>
    <row r="24" ht="40" customHeight="1" s="74">
      <c r="A24" s="12" t="n">
        <v>20</v>
      </c>
      <c r="B24" s="12" t="inlineStr">
        <is>
          <t>2.2 FCL状态字段 — P1，FC</t>
        </is>
      </c>
      <c r="C24" s="16" t="inlineStr">
        <is>
          <t>fcl_stage</t>
        </is>
      </c>
      <c r="D24" s="17" t="inlineStr">
        <is>
          <t>newrez.portnewrezfc.fcstage</t>
        </is>
      </c>
      <c r="E24" s="12" t="inlineStr">
        <is>
          <t>VARCHAR</t>
        </is>
      </c>
      <c r="F24" s="12" t="inlineStr">
        <is>
          <t>P1</t>
        </is>
      </c>
      <c r="G24" s="12" t="inlineStr">
        <is>
          <t>Newrez内部当前工作流步骤文本（如'Pre-Sale Review'）；summary_current_step的备用显示字段</t>
        </is>
      </c>
      <c r="H24" s="12" t="inlineStr">
        <is>
          <t>Newrez内部阶段描述文本</t>
        </is>
      </c>
      <c r="I24" s="48" t="inlineStr">
        <is>
          <t>自由文本</t>
        </is>
      </c>
      <c r="J24" s="48" t="inlineStr">
        <is>
          <t>Service Complete</t>
        </is>
      </c>
      <c r="K24" s="12" t="inlineStr">
        <is>
          <t>FCL Summary &gt; summary_current_step（备用，currentmilestone为空时使用）</t>
        </is>
      </c>
      <c r="L24" s="131" t="inlineStr">
        <is>
          <t>阶段瀑布判定（按里程碑优先级），存于 sync_fcl_stage_info.stage</t>
        </is>
      </c>
      <c r="M24" s="7" t="inlineStr">
        <is>
          <t>✅ 99.5%</t>
        </is>
      </c>
      <c r="N24" s="126" t="inlineStr">
        <is>
          <t>-- 验证 fcl_stage 取值范围
-- 源表: newrez.portnewrezfc | 运行于: mysql_dev
-- 快照表：已固定 dataasof='2026-06-01' 过滤（与 BPS 数据日对齐，复跑结果不变；计数=该日真实贷款分布，非全历史快照行数）
SELECT dataasof AS data_date, fcstage AS val, COUNT(*) AS cnt
FROM   newrez.portnewrezfc
WHERE  dataasof = '2026-06-01'
  AND  fcstage IS NOT NULL AND fcstage != ''
GROUP  BY dataasof, fcstage ORDER BY cnt DESC LIMIT 30;</t>
        </is>
      </c>
      <c r="O24" s="68" t="inlineStr">
        <is>
          <t>[data_date 2026-06-01] Pre-Sale Review 1 (SCRA and PACER Check):16 | Service Complete:12 | Post Sale Review (SCRA and PACER Check):9 | Sale Scheduled For:9 | Title Report Received:7 | NOS Sent for Recording:6 | Complaint Sent for Filing:5 | Preliminary Title Clear:4 | Presale Redemption Will Expire On:3 | Pre-Sale Review 2 (SCRA and PACER Check):3 | Order Of Reference Sent:3 | Complaint Prepared and Sent for Filing:2 | Service Sent:2 | Judgment Hearing Scheduled For:2 | NOD Prepared and Sent for Filing :2 | NOD Mailed and Posted:1 | First Publication:1 | Order Of Reference Received:1 | Acceleration Letter Sent:1 | Hearing Complete:1 | TSG Report Received:1 | Dockets Prepared and Sent for Filing:1 | Is Home Equity/Judicial Rail Needed :1 | Return of Service Filed:1 | Answer Period Will Expire On:1 | Final Title Clear:1 | Complaint Submitted for Service:1 | Submitted for Service:1 | Notice …</t>
        </is>
      </c>
      <c r="S24" s="124" t="inlineStr">
        <is>
          <t>-- 验证 BPS stage 取值（dist）— BPS 阶段码存于 sync_fcl_stage_info.stage
-- 表: bpms.sync_fcl_stage_info | 运行于: mysql_prod（只读）
-- as-of: sync_fcl_stage_info 最新 fctrdt=2026-06-01；ETL 载入 update_time=2026-06-03
SELECT '2026-06-01' AS data_date, `stage` AS val, COUNT(*) AS cnt
FROM   bpms.sync_fcl_stage_info
GROUP  BY `stage` ORDER BY cnt DESC;</t>
        </is>
      </c>
      <c r="T24" s="124" t="inlineStr">
        <is>
          <t>[BPS prod·数据日 fctrdt=2026-06-01·ETL载入 2026-06-03] REFERRAL:2738 | SALE:2068 | SERVICE:1528 | FIRST_LEGAL:775 | JUDGEMENT:732 | DEMAND:422</t>
        </is>
      </c>
    </row>
    <row r="25" ht="40" customHeight="1" s="74">
      <c r="A25" s="12" t="n">
        <v>21</v>
      </c>
      <c r="B25" s="12" t="inlineStr">
        <is>
          <t>2.2 FCL状态字段 — P1，FC</t>
        </is>
      </c>
      <c r="C25" s="16" t="inlineStr">
        <is>
          <t>current_milestone</t>
        </is>
      </c>
      <c r="D25" s="17" t="inlineStr">
        <is>
          <t>newrez.portnewrezfc.currentmilestone</t>
        </is>
      </c>
      <c r="E25" s="12" t="inlineStr">
        <is>
          <t>VARCHAR</t>
        </is>
      </c>
      <c r="F25" s="12" t="inlineStr">
        <is>
          <t>P1</t>
        </is>
      </c>
      <c r="G25" s="12" t="inlineStr">
        <is>
          <t>BPS里程碑标签；summary_current_step的最高优先级显示字段</t>
        </is>
      </c>
      <c r="H25" s="12" t="inlineStr">
        <is>
          <t>BPS里程碑标签文本</t>
        </is>
      </c>
      <c r="I25" s="65" t="inlineStr">
        <is>
          <t>Closed
First Legal
Judgment Entered
Sale Held
Sold
Service Complete
Sale Scheduled</t>
        </is>
      </c>
      <c r="J25" s="48" t="inlineStr">
        <is>
          <t>First Legal</t>
        </is>
      </c>
      <c r="K25" s="12" t="inlineStr">
        <is>
          <t>FCL Summary &gt; summary_current_step（最高优先级）</t>
        </is>
      </c>
      <c r="L25" s="131" t="inlineStr">
        <is>
          <t>currentmilestone 非空则取之，否则取 fcstage（→ summary_current_step）</t>
        </is>
      </c>
      <c r="M25" s="8" t="inlineStr">
        <is>
          <t>⚠️ 62.7% (低于可接受水平，建议提升至90%+)</t>
        </is>
      </c>
      <c r="N25" s="128" t="inlineStr">
        <is>
          <t>-- 验证 current_milestone 取值范围
-- 源表: newrez.portnewrezfc | 运行于: mysql_dev
-- 快照表：已固定 dataasof='2026-06-01' 过滤（与 BPS 数据日对齐，复跑结果不变；计数=该日真实贷款分布，非全历史快照行数）
SELECT dataasof AS data_date, currentmilestone AS val, COUNT(*) AS cnt
FROM   newrez.portnewrezfc
WHERE  dataasof = '2026-06-01'
  AND  currentmilestone IS NOT NULL AND currentmilestone != ''
GROUP  BY dataasof, currentmilestone ORDER BY cnt DESC LIMIT 30;</t>
        </is>
      </c>
      <c r="O25" s="68" t="inlineStr">
        <is>
          <t>[data_date 2026-06-01] Closed:54 | First Legal:16 | Sold:9 | Sale Held:7 | Service Complete:6 | Judgment Entered:4 | Sale Scheduled:3</t>
        </is>
      </c>
      <c r="S25" s="124" t="inlineStr">
        <is>
          <t>-- 验证 BPS summary_current_step 取值（dist）— currentmilestone 否则 fcstage
-- 表: bpms.sync_loan_foreclosure | 运行于: mysql_prod（只读）
-- as-of: 主表无 dataasof/fctrdt（upsert，update_time 实测全 NULL）；ETL 载入≈2026-06-03（取自 sync_fcl_stage_info.update_time）
SELECT '2026-06-01' AS data_date, `summary_current_step` AS val, COUNT(*) AS cnt
FROM   bpms.sync_loan_foreclosure
GROUP  BY `summary_current_step` ORDER BY cnt DESC;</t>
        </is>
      </c>
      <c r="T25" s="124" t="inlineStr">
        <is>
          <t>[BPS prod·数据日 2026-06-01(主表无嵌入,同 ETL 周期 Newrez 源日)·ETL载入 2026-06-03] Pre-Sale Review 1 (SCRA and PACER Check):13 | Post Sale Review (SCRA and PACER Check):9 | NOS Sent for Recording:7 | Sale Scheduled For:7 | Service Complete:6 | Preliminary Title Clear:5 | ∅NULL:4 | Complaint Sent for Filing:3 | Order Of Reference Sent:3 | Pre-Sale Review 2 (SCRA and PACER Check):3 | First Legal Action Filed:2 | Title Summary:2 | Presale Redemption Will Expire On:2 | Pending First Legal:2 | Judgment Hearing Scheduled For:2 | NOD Prepared and Sent for Filing :2 | Title Report Received:2 | Return of Service Filed:1 | Acceleration Letter Sent:1 | Is Home Equity/Judicial Rail Needed :1 | Order Of Reference Received:1 | Hearing Complete:1 | TSG Report Received:1 | Complaint Submitted for Service:1 | Contested / Litigation Start:1 | Sale Deed Recorded:1 | Dockets Prepared and Sent for Filing:1 | Answer Period …</t>
        </is>
      </c>
    </row>
    <row r="26" ht="40" customHeight="1" s="74">
      <c r="A26" s="12" t="n">
        <v>22</v>
      </c>
      <c r="B26" s="12" t="inlineStr">
        <is>
          <t>2.2 FCL状态字段 — P1，FC</t>
        </is>
      </c>
      <c r="C26" s="16" t="inlineStr">
        <is>
          <t>last_completed_step</t>
        </is>
      </c>
      <c r="D26" s="17" t="inlineStr">
        <is>
          <t>newrez.portnewrezfc.lastfcstepcompleted</t>
        </is>
      </c>
      <c r="E26" s="12" t="inlineStr">
        <is>
          <t>VARCHAR</t>
        </is>
      </c>
      <c r="F26" s="12" t="inlineStr">
        <is>
          <t>P1</t>
        </is>
      </c>
      <c r="G26" s="12" t="inlineStr">
        <is>
          <t>最近完成的止赎处理步骤文本；运营人员用于追踪进度</t>
        </is>
      </c>
      <c r="H26" s="12" t="inlineStr">
        <is>
          <t>步骤描述文本</t>
        </is>
      </c>
      <c r="I26" s="48" t="inlineStr">
        <is>
          <t>自由文本</t>
        </is>
      </c>
      <c r="J26" s="48" t="inlineStr">
        <is>
          <t>FC Referral</t>
        </is>
      </c>
      <c r="K26" s="12" t="inlineStr">
        <is>
          <t>FCL Summary &gt; summary_last_step_completed</t>
        </is>
      </c>
      <c r="L26" s="131" t="inlineStr">
        <is>
          <t>直接取值（lastfcstepcompleted → summary_last_step_completed）</t>
        </is>
      </c>
      <c r="M26" s="7" t="inlineStr">
        <is>
          <t>✅ 99.5%</t>
        </is>
      </c>
      <c r="N26" s="126" t="inlineStr">
        <is>
          <t>-- 验证 last_completed_step 取值范围
-- 源表: newrez.portnewrezfc | 运行于: mysql_dev
-- 快照表：已固定 dataasof='2026-06-01' 过滤（与 BPS 数据日对齐，复跑结果不变；计数=该日真实贷款分布，非全历史快照行数）
SELECT dataasof AS data_date, lastfcstepcompleted AS val, COUNT(*) AS cnt
FROM   newrez.portnewrezfc
WHERE  dataasof = '2026-06-01'
  AND  lastfcstepcompleted IS NOT NULL AND lastfcstepcompleted != ''
GROUP  BY dataasof, lastfcstepcompleted ORDER BY cnt DESC LIMIT 30;</t>
        </is>
      </c>
      <c r="O26" s="68" t="inlineStr">
        <is>
          <t>[data_date 2026-06-01] Preliminary Title Clear:21 | Post Sale Review (SCRA and PACER Check):9 | File Received By Attorney:8 | Sale Scheduled For:6 | Complaint Sent For Service:5 | Title Report Received:4 | Submitted for Service:4 | Presale Redemption Will Expire On:3 | NOS Recorded:3 | Answer Period Will Expire On:3 | Final Title Clear:3 | NOS Posted:3 | HUD First Action Expires:2 | Review for Judicial Action:2 | Motion for Judgment Sent to Court:2 | NOS Sent for Recording:2 | Complaint Submitted for Service:2 | Firm Registers NOI With State:2 | Service Complete:2 | NOTS Recorded:1 | Complaint Filed:1 | File Referred To Attorney:1 | First Publication of NOS:1 | Order Authorizing Sale Received:1 | Attorney Acknowledges:1 | Praecipe Filed:1 | Hearing Scheduled For:1 | NOD Filed:1 | Are We Proceeding with a Consent Judgment :1 | Order Of Reference Sent:1</t>
        </is>
      </c>
      <c r="S26" s="124" t="inlineStr">
        <is>
          <t>-- 验证 BPS summary_last_step_completed 取值（dist）
-- 表: bpms.sync_loan_foreclosure | 运行于: mysql_prod（只读）
-- as-of: 主表无 dataasof/fctrdt（upsert，update_time 实测全 NULL）；ETL 载入≈2026-06-03（取自 sync_fcl_stage_info.update_time）
SELECT '2026-06-01' AS data_date, `summary_last_step_completed` AS val, COUNT(*) AS cnt
FROM   bpms.sync_loan_foreclosure
GROUP  BY `summary_last_step_completed` ORDER BY cnt DESC;</t>
        </is>
      </c>
      <c r="T26" s="124" t="inlineStr">
        <is>
          <t>[BPS prod·数据日 2026-06-01(主表无嵌入,同 ETL 周期 Newrez 源日)·ETL载入 2026-06-03] Preliminary Title Clear:12 | ∅NULL:12 | Post Sale Review (SCRA and PACER Check):9 | Title Report Received:5 | Sale Scheduled For:5 | NOS Recorded:3 | File Received By Attorney:3 | Submitted for Service:3 | Final Title Clear:3 | Answer Period Will Expire On:3 | Presale Redemption Will Expire On:3 | Motion for Judgment Sent to Court:2 | NOS Sent for Recording:2 | Review for Judicial Action:2 | Service Complete:2 | Complaint Sent For Service:2 | HUD First Action Expires:2 | NOTS Recorded:1 | First Publication:1 | Hearing Scheduled For:1 | Order Of Reference Sent:1 | NOD Filed:1 | Praecipe Filed:1 | Is Home Equity/Judicial Rail Needed :1 | First Publication of NOS:1 | Are We Proceeding with a Consent Judgment :1 | Order Authorizing Sale Received:1 | NOS Posted:1 | Complaint Submitted for Service:1 | Complaint Filed:1 | Firm …</t>
        </is>
      </c>
    </row>
    <row r="27" ht="40" customHeight="1" s="74">
      <c r="A27" s="12" t="n">
        <v>23</v>
      </c>
      <c r="B27" s="12" t="inlineStr">
        <is>
          <t>2.2 FCL状态字段 — P1，FC</t>
        </is>
      </c>
      <c r="C27" s="16" t="inlineStr">
        <is>
          <t>last_completed_step_date</t>
        </is>
      </c>
      <c r="D27" s="17" t="inlineStr">
        <is>
          <t>newrez.portnewrezfc.lastfcstepcompleteddate</t>
        </is>
      </c>
      <c r="E27" s="12" t="inlineStr">
        <is>
          <t>DATE</t>
        </is>
      </c>
      <c r="F27" s="12" t="inlineStr">
        <is>
          <t>P1</t>
        </is>
      </c>
      <c r="G27" s="12" t="inlineStr">
        <is>
          <t>最近完成步骤的完成日期</t>
        </is>
      </c>
      <c r="H27" s="12" t="inlineStr">
        <is>
          <t>YYYY-MM-DD</t>
        </is>
      </c>
      <c r="I27" s="48" t="inlineStr">
        <is>
          <t>YYYY-MM-DD</t>
        </is>
      </c>
      <c r="J27" s="48" t="inlineStr">
        <is>
          <t>2024-02-15</t>
        </is>
      </c>
      <c r="K27" s="12" t="inlineStr">
        <is>
          <t>FCL Summary &gt; summary_last_step_completed_date</t>
        </is>
      </c>
      <c r="L27" s="131" t="inlineStr">
        <is>
          <t>直接取值（lastfcstepcompleteddate → summary_last_step_completed_date）</t>
        </is>
      </c>
      <c r="M27" s="7" t="inlineStr">
        <is>
          <t>✅ 99.5%</t>
        </is>
      </c>
      <c r="N27" s="126" t="inlineStr">
        <is>
          <t>-- 验证 last_completed_step_date 取值样例（最新快照取10笔，快速查看字段的样子）
-- 源表: newrez.portnewrezfc | 运行于: mysql_dev
SELECT loanid, dataasof, lastfcstepcompleteddate
FROM   newrez.portnewrezfc
WHERE  dataasof = '2026-06-01'
  AND  lastfcstepcompleteddate IS NOT NULL
LIMIT  10;</t>
        </is>
      </c>
      <c r="O27" s="68" t="inlineStr">
        <is>
          <t>[data_date 2026-06-01] 2025-02-26 | 2025-11-03 | 2026-05-26 | 2026-04-23 | 2026-05-05 | 2026-04-30 | 2026-03-03 | 2026-05-22 | 2026-05-26 | 2026-03-13（10笔）</t>
        </is>
      </c>
      <c r="S27" s="124" t="inlineStr">
        <is>
          <t>-- 验证 BPS summary_last_step_completed_date 取值（date）
-- 表: bpms.sync_loan_foreclosure | 运行于: mysql_prod（只读）
-- as-of: 主表无 dataasof/fctrdt（upsert，update_time 实测全 NULL）；ETL 载入≈2026-06-03（取自 sync_fcl_stage_info.update_time）
SELECT '2026-06-01' AS data_date, COUNT(*) AS total, COUNT(`summary_last_step_completed_date`) AS non_null,
       MIN(`summary_last_step_completed_date`) AS min_dt, MAX(`summary_last_step_completed_date`) AS max_dt
FROM   bpms.sync_loan_foreclosure;</t>
        </is>
      </c>
      <c r="T27" s="124" t="inlineStr">
        <is>
          <t>[BPS prod·数据日 2026-06-01(主表无嵌入,同 ETL 周期 Newrez 源日)·ETL载入 2026-06-03] 非空 77/89 · 区间 2019-10-14~2026-05-26</t>
        </is>
      </c>
    </row>
    <row r="28" ht="40" customHeight="1" s="74">
      <c r="A28" s="12" t="n">
        <v>24</v>
      </c>
      <c r="B28" s="12" t="inlineStr">
        <is>
          <t>2.2 FCL状态字段 — P1，FC</t>
        </is>
      </c>
      <c r="C28" s="16" t="inlineStr">
        <is>
          <t>fcl_results</t>
        </is>
      </c>
      <c r="D28" s="17" t="inlineStr">
        <is>
          <t>newrez.portnewrezfc.fcresults</t>
        </is>
      </c>
      <c r="E28" s="12" t="inlineStr">
        <is>
          <t>VARCHAR</t>
        </is>
      </c>
      <c r="F28" s="12" t="inlineStr">
        <is>
          <t>P1</t>
        </is>
      </c>
      <c r="G28" s="12" t="inlineStr">
        <is>
          <t>最终止赎处置结果（仅完成贷款有值）；'3rd Party'触发timeline_third_party_sold_date逻辑</t>
        </is>
      </c>
      <c r="H28" s="12" t="inlineStr">
        <is>
          <t>文本；典型值：3rd Party / REO</t>
        </is>
      </c>
      <c r="I28" s="48" t="inlineStr">
        <is>
          <t>REO | 3rd Party（活跃FCL为空）</t>
        </is>
      </c>
      <c r="J28" s="48" t="inlineStr">
        <is>
          <t>REO</t>
        </is>
      </c>
      <c r="K28" s="12" t="inlineStr">
        <is>
          <t>FCL Summary（已完成贷款）/ timeline_third_party_sold_date触发</t>
        </is>
      </c>
      <c r="L28" s="131" t="inlineStr">
        <is>
          <t>N/A — BPS 不单独存；仅参与 fcresults='3rd Party' 的 timeline_third_party_sold 判断</t>
        </is>
      </c>
      <c r="M28" s="8" t="inlineStr">
        <is>
          <t>⚠️ 2.1% (仅完成贷款，部分填充属正常)</t>
        </is>
      </c>
      <c r="N28" s="128" t="inlineStr">
        <is>
          <t>-- 验证 fcl_results 取值范围
-- 源表: newrez.portnewrezfc | 运行于: mysql_dev
-- 快照表：已固定 dataasof='2026-06-01' 过滤（与 BPS 数据日对齐，复跑结果不变；计数=该日真实贷款分布，非全历史快照行数）
SELECT dataasof AS data_date, fcresults AS val, COUNT(*) AS cnt
FROM   newrez.portnewrezfc
WHERE  dataasof = '2026-06-01'
  AND  fcresults IS NOT NULL AND fcresults != ''
GROUP  BY dataasof, fcresults ORDER BY cnt DESC LIMIT 30;</t>
        </is>
      </c>
      <c r="O28" s="68" t="inlineStr">
        <is>
          <t>[data_date 2026-06-01] REO:6 | 3rd Party:3</t>
        </is>
      </c>
      <c r="S28" s="124" t="inlineStr">
        <is>
          <t>-- N/A — BPS 不单独存 fcresults（仅用于 Foreclosure Status 文本/REO 识别）</t>
        </is>
      </c>
      <c r="T28" s="124" t="inlineStr">
        <is>
          <t>N/A — 不映射到 BPS FCL 同步表（见左侧说明）</t>
        </is>
      </c>
    </row>
    <row r="29" ht="40" customHeight="1" s="74">
      <c r="A29" s="12" t="n">
        <v>25</v>
      </c>
      <c r="B29" s="12" t="inlineStr">
        <is>
          <t>2.2 FCL状态字段 — P1，FC</t>
        </is>
      </c>
      <c r="C29" s="16" t="inlineStr">
        <is>
          <t>fcl_removal_description</t>
        </is>
      </c>
      <c r="D29" s="17" t="inlineStr">
        <is>
          <t>newrez.portnewrezfc.fcremovaldesc</t>
        </is>
      </c>
      <c r="E29" s="12" t="inlineStr">
        <is>
          <t>VARCHAR</t>
        </is>
      </c>
      <c r="F29" s="12" t="inlineStr">
        <is>
          <t>P1</t>
        </is>
      </c>
      <c r="G29" s="12" t="inlineStr">
        <is>
          <t>退出/关闭止赎流程的原因（仅已退出 FCL 的贷款有值）；驱动 BPS Foreclosure Status 的 'Closed Foreclosure: &lt;desc&gt;' 后缀；与 fcl_removal_date（退出日期）配对</t>
        </is>
      </c>
      <c r="H29" s="12" t="inlineStr">
        <is>
          <t>文本枚举（Newrez 直接取值 fcremovaldesc）</t>
        </is>
      </c>
      <c r="I29" s="48" t="inlineStr">
        <is>
          <t>Reinstated | Loss Mitigation | Paid in Full | Process Complete | Deed in Lieu Cmplte（活跃 FCL 为空）</t>
        </is>
      </c>
      <c r="J29" s="48" t="inlineStr">
        <is>
          <t>Reinstated</t>
        </is>
      </c>
      <c r="K29" s="12" t="inlineStr">
        <is>
          <t>FCL Summary &gt; summary_foreclosure_status（并入 'Closed Foreclosure:'+desc；BPS 无独立列）</t>
        </is>
      </c>
      <c r="L29" s="131" t="inlineStr">
        <is>
          <t>N/A — 不单独存；并入 summary_foreclosure_status（activefcflag=0 且非空时 = 'Closed Foreclosure:'+fcremovaldesc）</t>
        </is>
      </c>
      <c r="M29" s="8" t="inlineStr">
        <is>
          <t>✅ ~1.2%（仅已退出 FCL 贷款；实测 2026-06-01 共 63 笔非空，5 个取值）</t>
        </is>
      </c>
      <c r="N29" s="128" t="inlineStr">
        <is>
          <t>-- 验证 fcl_removal_description 取值范围
-- 源表: newrez.portnewrezfc | 运行于: mysql_dev
-- 快照表：已固定 dataasof='2026-06-01' 过滤（与 BPS 数据日对齐，复跑结果不变；计数=该日真实贷款分布，非全历史快照行数）
SELECT dataasof AS data_date, fcremovaldesc AS val, COUNT(*) AS cnt
FROM   newrez.portnewrezfc
WHERE  dataasof = '2026-06-01'
  AND  fcremovaldesc IS NOT NULL AND fcremovaldesc != ''
GROUP  BY dataasof, fcremovaldesc ORDER BY cnt DESC LIMIT 30;</t>
        </is>
      </c>
      <c r="O29" s="68" t="inlineStr">
        <is>
          <t>[data_date 2026-06-01] Reinstated:26 | Loss Mitigation:16 | Paid in Full:11 | Process Complete:9 | Deed in Lieu Cmplte:1</t>
        </is>
      </c>
      <c r="S29" s="124" t="inlineStr">
        <is>
          <t>-- N/A — BPS 不单独存；并入 summary_foreclosure_status 文本（'Closed Foreclosure:'+fcremovaldesc）</t>
        </is>
      </c>
      <c r="T29" s="124" t="inlineStr">
        <is>
          <t>N/A — 不映射到 BPS FCL 同步表（见左侧说明）</t>
        </is>
      </c>
    </row>
    <row r="30" ht="40" customHeight="1" s="74">
      <c r="A30" s="12" t="n">
        <v>26</v>
      </c>
      <c r="B30" s="12" t="inlineStr">
        <is>
          <t>2.2 FCL状态字段 — P1，FC</t>
        </is>
      </c>
      <c r="C30" s="16" t="inlineStr">
        <is>
          <t>attorney_firm</t>
        </is>
      </c>
      <c r="D30" s="17" t="inlineStr">
        <is>
          <t>newrez.portnewrezfc.fcfirm</t>
        </is>
      </c>
      <c r="E30" s="12" t="inlineStr">
        <is>
          <t>VARCHAR</t>
        </is>
      </c>
      <c r="F30" s="12" t="inlineStr">
        <is>
          <t>P1</t>
        </is>
      </c>
      <c r="G30" s="12" t="inlineStr">
        <is>
          <t>处理此止赎案件的律师事务所全名</t>
        </is>
      </c>
      <c r="H30" s="12" t="inlineStr">
        <is>
          <t>律师事务所名称文本</t>
        </is>
      </c>
      <c r="I30" s="48" t="inlineStr">
        <is>
          <t>自由文本（律师事务所名称）</t>
        </is>
      </c>
      <c r="J30" s="48" t="inlineStr">
        <is>
          <t>Kelley Kronenberg, P.A.</t>
        </is>
      </c>
      <c r="K30" s="12" t="inlineStr">
        <is>
          <t>FCL Summary &gt; summary_foreclosure_attorney / summary_firm</t>
        </is>
      </c>
      <c r="L30" s="131" t="inlineStr">
        <is>
          <t>直接取值（fcfirm → summary_foreclosure_attorney / summary_firm）</t>
        </is>
      </c>
      <c r="M30" s="7" t="inlineStr">
        <is>
          <t>✅ 100%</t>
        </is>
      </c>
      <c r="N30" s="126" t="inlineStr">
        <is>
          <t>-- 验证 attorney_firm 取值样例（最新快照取10笔，快速查看字段的样子）
-- 源表: newrez.portnewrezfc | 运行于: mysql_dev
SELECT loanid, dataasof, fcfirm
FROM   newrez.portnewrezfc
WHERE  dataasof = '2026-06-01'
  AND  fcfirm IS NOT NULL AND fcfirm != ''
LIMIT  10;</t>
        </is>
      </c>
      <c r="O30" s="68" t="inlineStr">
        <is>
          <t>[data_date 2026-06-01] Korde &amp; Associates, P.C. | Stern &amp; Eisenberg, PC | Padgett Law Group | Clunk, Hoose Co., LPA | Friedman Vartolo LLP  | McCarthy &amp; Holthus, LLP | Friedman Vartolo LLP  | McCarthy &amp; Holthus, LLP | Foundation Legal Group, LLP | Friedman Vartolo LLP （10笔）</t>
        </is>
      </c>
      <c r="S30" s="124" t="inlineStr">
        <is>
          <t>-- 验证 BPS summary_foreclosure_attorney 取值（dist）
-- 表: bpms.sync_loan_foreclosure | 运行于: mysql_prod（只读）
-- as-of: 主表无 dataasof/fctrdt（upsert，update_time 实测全 NULL）；ETL 载入≈2026-06-03（取自 sync_fcl_stage_info.update_time）
SELECT '2026-06-01' AS data_date, `summary_foreclosure_attorney` AS val, COUNT(*) AS cnt
FROM   bpms.sync_loan_foreclosure
GROUP  BY `summary_foreclosure_attorney` ORDER BY cnt DESC;</t>
        </is>
      </c>
      <c r="T30" s="124" t="inlineStr">
        <is>
          <t>[BPS prod·数据日 2026-06-01(主表无嵌入,同 ETL 周期 Newrez 源日)·ETL载入 2026-06-03] ∅NULL:85 | Brock &amp; Scott PLLC:1 | McPhail Sanchez, LLC:1 | Vylla Solutions, LLC:1 | Lender Legal PLLC:1</t>
        </is>
      </c>
    </row>
    <row r="31" ht="40" customHeight="1" s="74">
      <c r="A31" s="12" t="n">
        <v>27</v>
      </c>
      <c r="B31" s="12" t="inlineStr">
        <is>
          <t>2.2 FCL状态字段 — P1，FC</t>
        </is>
      </c>
      <c r="C31" s="16" t="inlineStr">
        <is>
          <t>contested_flag</t>
        </is>
      </c>
      <c r="D31" s="17" t="inlineStr">
        <is>
          <t>newrez.portnewrezfc.fccontestedflag</t>
        </is>
      </c>
      <c r="E31" s="12" t="inlineStr">
        <is>
          <t>TINYINT</t>
        </is>
      </c>
      <c r="F31" s="12" t="inlineStr">
        <is>
          <t>P1</t>
        </is>
      </c>
      <c r="G31" s="12" t="inlineStr">
        <is>
          <t>是否存在争议诉讼（借款人提出法律异议）</t>
        </is>
      </c>
      <c r="H31" s="12" t="inlineStr">
        <is>
          <t>0=无争议 / 1=有争议</t>
        </is>
      </c>
      <c r="I31" s="48" t="inlineStr">
        <is>
          <t>0 / 1</t>
        </is>
      </c>
      <c r="J31" s="48" t="inlineStr">
        <is>
          <t>0</t>
        </is>
      </c>
      <c r="K31" s="12" t="inlineStr">
        <is>
          <t>FCL Summary &gt; summary_contested_litigation</t>
        </is>
      </c>
      <c r="L31" s="131" t="inlineStr">
        <is>
          <t>直接取值（fccontestedflag → summary_contested_litigation）</t>
        </is>
      </c>
      <c r="M31" s="7" t="inlineStr">
        <is>
          <t>✅ 100%</t>
        </is>
      </c>
      <c r="N31" s="126" t="inlineStr">
        <is>
          <t>-- 验证 contested_flag 取值范围
-- 源表: newrez.portnewrezfc | 运行于: mysql_dev
-- 快照表：已固定 dataasof='2026-06-01' 过滤（与 BPS 数据日对齐，复跑结果不变；计数=该日真实贷款分布，非全历史快照行数）
SELECT dataasof AS data_date, fccontestedflag, COUNT(*) AS cnt
FROM   newrez.portnewrezfc
WHERE  dataasof = '2026-06-01'
GROUP  BY dataasof, fccontestedflag ORDER BY cnt DESC;</t>
        </is>
      </c>
      <c r="O31" s="68" t="inlineStr">
        <is>
          <t>[data_date 2026-06-01] 0:5051 | 1:1</t>
        </is>
      </c>
      <c r="S31" s="124" t="inlineStr">
        <is>
          <t>-- 验证 BPS summary_contested_litigation 取值（binary）
-- 表: bpms.sync_loan_foreclosure | 运行于: mysql_prod（只读）
-- as-of: 主表无 dataasof/fctrdt（upsert，update_time 实测全 NULL）；ETL 载入≈2026-06-03（取自 sync_fcl_stage_info.update_time）
SELECT '2026-06-01' AS data_date, `summary_contested_litigation` AS val, COUNT(*) AS cnt
FROM   bpms.sync_loan_foreclosure
GROUP  BY `summary_contested_litigation` ORDER BY cnt DESC;</t>
        </is>
      </c>
      <c r="T31" s="124" t="inlineStr">
        <is>
          <t>[BPS prod·数据日 2026-06-01(主表无嵌入,同 ETL 周期 Newrez 源日)·ETL载入 2026-06-03] 0:75 | ∅NULL:13 | 1:1</t>
        </is>
      </c>
    </row>
    <row r="32" ht="40" customHeight="1" s="74">
      <c r="A32" s="12" t="n">
        <v>28</v>
      </c>
      <c r="B32" s="12" t="inlineStr">
        <is>
          <t>2.2 FCL状态字段 — P1，FC</t>
        </is>
      </c>
      <c r="C32" s="16" t="inlineStr">
        <is>
          <t>servicer_days_in_fcl</t>
        </is>
      </c>
      <c r="D32" s="17" t="inlineStr">
        <is>
          <t>newrez.portnewrezfc.smsdaysinfc</t>
        </is>
      </c>
      <c r="E32" s="12" t="inlineStr">
        <is>
          <t>INTEGER</t>
        </is>
      </c>
      <c r="F32" s="12" t="inlineStr">
        <is>
          <t>P1</t>
        </is>
      </c>
      <c r="G32" s="12" t="inlineStr">
        <is>
          <t>Servicer 口径的 FCL 在途天数（Newrez/SMS=Shellpoint Mortgage Servicing 实现为原生 smsdaysinfc / ETL 别名 svc_days_infc，透传），自 servicer 建案日 fcsetupdate 起算。BPS 实时修正：smsdaysinfc + DATEDIFF(今日纽约, dataasof)。因 setup≥referral，故 ≤ days_in_fcl（投资人全程口径）。注：标准接口字段名取 servicer-中性名 servicer_days_in_fcl；smsdaysinfc/summary_sms_days_in_fcl 为 Newrez/BPS 真实列名</t>
        </is>
      </c>
      <c r="H32" s="12" t="inlineStr">
        <is>
          <t>正整数（以dataasof为基准）</t>
        </is>
      </c>
      <c r="I32" s="48" t="inlineStr">
        <is>
          <t>正整数</t>
        </is>
      </c>
      <c r="J32" s="48" t="inlineStr">
        <is>
          <t>128</t>
        </is>
      </c>
      <c r="K32" s="12" t="inlineStr">
        <is>
          <t>FCL Summary &gt; summary_sms_days_in_fcl</t>
        </is>
      </c>
      <c r="L32" s="131" t="inlineStr">
        <is>
          <t>原值 smsdaysinfc + DATEDIFF(今日纽约, dataasof) 实时重算（自 fcsetupdate 起算）</t>
        </is>
      </c>
      <c r="M32" s="7" t="inlineStr">
        <is>
          <t>✅ 100%（smsdaysinfc，1~606天）</t>
        </is>
      </c>
      <c r="N32" s="126" t="inlineStr">
        <is>
          <t>-- 验证 servicer_days_in_fcl 取值样例（最新快照取10笔，快速查看字段的样子）
-- 源表: newrez.portnewrezfc | 运行于: mysql_dev
SELECT loanid, dataasof, smsdaysinfc
FROM   newrez.portnewrezfc
WHERE  dataasof = '2026-06-01'
  AND  smsdaysinfc IS NOT NULL
LIMIT  10;</t>
        </is>
      </c>
      <c r="O32" s="68" t="inlineStr">
        <is>
          <t>[data_date 2026-06-01] 10 | 29 | 7 | 67 | 99 | 50 | 40 | 11 | 7 | 133（10笔）</t>
        </is>
      </c>
      <c r="S32" s="124" t="inlineStr">
        <is>
          <t>-- 验证 BPS summary_sms_days_in_fcl 取值（numeric）
-- 表: bpms.sync_loan_foreclosure | 运行于: mysql_prod（只读）
-- as-of: 主表无 dataasof/fctrdt（upsert，update_time 实测全 NULL）；ETL 载入≈2026-06-03（取自 sync_fcl_stage_info.update_time）
SELECT '2026-06-01' AS data_date, COUNT(*) AS total, COUNT(`summary_sms_days_in_fcl`) AS non_null,
       MIN(`summary_sms_days_in_fcl`) AS min_v, MAX(`summary_sms_days_in_fcl`) AS max_v, ROUND(AVG(`summary_sms_days_in_fcl`),2) AS avg_v
FROM   bpms.sync_loan_foreclosure;</t>
        </is>
      </c>
      <c r="T32" s="124" t="inlineStr">
        <is>
          <t>[BPS prod·数据日 2026-06-01(主表无嵌入,同 ETL 周期 Newrez 源日)·ETL载入 2026-06-03] 非空 69/89 · 区间 9~610 · 均值 188.36</t>
        </is>
      </c>
    </row>
    <row r="33" ht="18" customHeight="1" s="74">
      <c r="A33" s="12" t="n">
        <v>29</v>
      </c>
      <c r="B33" s="12" t="inlineStr">
        <is>
          <t>2.2 FCL状态字段 — P1，FC</t>
        </is>
      </c>
      <c r="C33" s="16" t="inlineStr">
        <is>
          <t>days_in_fcl</t>
        </is>
      </c>
      <c r="D33" s="17" t="inlineStr">
        <is>
          <t>newrez.portnewrezfc.daysinfc</t>
        </is>
      </c>
      <c r="E33" s="12" t="inlineStr">
        <is>
          <t>INTEGER</t>
        </is>
      </c>
      <c r="F33" s="12" t="inlineStr">
        <is>
          <t>P1</t>
        </is>
      </c>
      <c r="G33" s="12" t="inlineStr">
        <is>
          <t>投资人 / 全程视角的 FCL 在途天数。ETL 按 fcreferraldate（转介日）重算：datediff(referral_start_date, snapshot)+1（仅 Active；basic_data_pool_config.py:1628）。与 servicer_days_in_fcl 的区别=起算基准不同（referral vs setup），故 days_in_fcl ≥ servicer_days_in_fcl；BPS 同样 + DATEDIFF(今日纽约, dataasof) 实时修正</t>
        </is>
      </c>
      <c r="H33" s="12" t="inlineStr">
        <is>
          <t>正整数（以dataasof为基准）</t>
        </is>
      </c>
      <c r="I33" s="48" t="inlineStr">
        <is>
          <t>正整数</t>
        </is>
      </c>
      <c r="J33" s="48" t="inlineStr">
        <is>
          <t>215</t>
        </is>
      </c>
      <c r="K33" s="12" t="inlineStr">
        <is>
          <t>FCL Summary &gt; summary_days_in_fcl</t>
        </is>
      </c>
      <c r="L33" s="131" t="inlineStr">
        <is>
          <t>原值 daysinfc + DATEDIFF(今日纽约, dataasof) 实时重算（自 fcreferraldate 起算）</t>
        </is>
      </c>
      <c r="M33" s="7" t="inlineStr">
        <is>
          <t>✅ 100%（daysinfc，1~814天）</t>
        </is>
      </c>
      <c r="N33" s="126" t="inlineStr">
        <is>
          <t>-- 验证 days_in_fcl 取值样例（最新快照取10笔，快速查看字段的样子）
-- 源表: newrez.portnewrezfc | 运行于: mysql_dev
SELECT loanid, dataasof, daysinfc
FROM   newrez.portnewrezfc
WHERE  dataasof = '2026-06-01'
  AND  daysinfc IS NOT NULL
LIMIT  10;</t>
        </is>
      </c>
      <c r="O33" s="68" t="inlineStr">
        <is>
          <t>[data_date 2026-06-01] 10 | 29 | 7 | 67 | 99 | 50 | 40 | 11 | 7 | 133（10笔）</t>
        </is>
      </c>
      <c r="S33" s="124" t="inlineStr">
        <is>
          <t>-- 验证 BPS summary_days_in_fcl 取值（numeric）
-- 表: bpms.sync_loan_foreclosure | 运行于: mysql_prod（只读）
-- as-of: 主表无 dataasof/fctrdt（upsert，update_time 实测全 NULL）；ETL 载入≈2026-06-03（取自 sync_fcl_stage_info.update_time）
SELECT '2026-06-01' AS data_date, COUNT(*) AS total, COUNT(`summary_days_in_fcl`) AS non_null,
       MIN(`summary_days_in_fcl`) AS min_v, MAX(`summary_days_in_fcl`) AS max_v, ROUND(AVG(`summary_days_in_fcl`),2) AS avg_v
FROM   bpms.sync_loan_foreclosure;</t>
        </is>
      </c>
      <c r="T33" s="124" t="inlineStr">
        <is>
          <t>[BPS prod·数据日 2026-06-01(主表无嵌入,同 ETL 周期 Newrez 源日)·ETL载入 2026-06-03] 非空 83/89 · 区间 8~818 · 均值 185.06</t>
        </is>
      </c>
    </row>
    <row r="34" ht="40" customHeight="1" s="74">
      <c r="A34" s="119" t="inlineStr">
        <is>
          <t>Section 2.3 — FCL时间轴字段 — Timeline面板 + 聚合Time Line Tab</t>
        </is>
      </c>
      <c r="B34" s="70" t="n"/>
      <c r="C34" s="70" t="n"/>
      <c r="D34" s="70" t="n"/>
      <c r="E34" s="70" t="n"/>
      <c r="F34" s="70" t="n"/>
      <c r="G34" s="70" t="n"/>
      <c r="H34" s="70" t="n"/>
      <c r="I34" s="70" t="n"/>
      <c r="J34" s="71" t="n"/>
      <c r="K34" s="2" t="n"/>
      <c r="M34" s="3" t="n"/>
    </row>
    <row r="35" ht="40" customHeight="1" s="74">
      <c r="A35" s="12" t="n">
        <v>30</v>
      </c>
      <c r="B35" s="12" t="inlineStr">
        <is>
          <t>2.3 FCL时间轴字段 — Time</t>
        </is>
      </c>
      <c r="C35" s="16" t="inlineStr">
        <is>
          <t>noi_date</t>
        </is>
      </c>
      <c r="D35" s="17" t="inlineStr">
        <is>
          <t>— (Newrez以newrez.portnewrezfc.demandsentdate代替，无专用NOI字段)</t>
        </is>
      </c>
      <c r="E35" s="12" t="inlineStr">
        <is>
          <t>DATE</t>
        </is>
      </c>
      <c r="F35" s="12" t="inlineStr">
        <is>
          <t>P1</t>
        </is>
      </c>
      <c r="G35" s="12" t="inlineStr">
        <is>
          <t>各州法律要求的正式止赎意向通知（NOI）日期；与demandsentdate（催款函）概念不同；Newrez将两者合并，BPS以demandsentdate临时代替</t>
        </is>
      </c>
      <c r="H35" s="12" t="inlineStr">
        <is>
          <t>YYYY-MM-DD；Newrez以demandsentdate临时代替</t>
        </is>
      </c>
      <c r="I35" s="48" t="inlineStr">
        <is>
          <t>YYYY-MM-DD</t>
        </is>
      </c>
      <c r="J35" s="48" t="inlineStr">
        <is>
          <t>—</t>
        </is>
      </c>
      <c r="K35" s="12" t="inlineStr">
        <is>
          <t>Timeline &gt; timeline_notice_of_intent_date / Time Line Tab &gt; noi_start_date</t>
        </is>
      </c>
      <c r="L35" s="131" t="inlineStr">
        <is>
          <t>直接取值（demandsentdate → timeline_notice_of_intent_date）</t>
        </is>
      </c>
      <c r="M35" s="6" t="inlineStr">
        <is>
          <t>❌ 未单独提供（BPS以demandsentdate临时代替）</t>
        </is>
      </c>
      <c r="N35" s="120" t="inlineStr">
        <is>
          <t>-- N/A Newrez未单独提供 NOI；BPS 以 demandsentdate 代替（最新快照取10笔样例）
-- 源表: newrez.portnewrezfc | 运行于: mysql_dev
SELECT loanid, dataasof, demandsentdate
FROM   newrez.portnewrezfc
WHERE  dataasof = '2026-06-01'
  AND  demandsentdate IS NOT NULL
LIMIT  10;</t>
        </is>
      </c>
      <c r="O35" s="68" t="inlineStr">
        <is>
          <t>[data_date 2026-06-01] 2024-12-05 | 2026-04-15 | 2025-06-16 | 2026-04-17 | 2026-05-29 | 2026-04-13 | 2026-01-22 | 2026-05-04 | 2025-11-24 | 2025-12-19（10笔）</t>
        </is>
      </c>
      <c r="S35" s="124" t="inlineStr">
        <is>
          <t>-- 验证 BPS timeline_notice_of_intent_date 取值（date）— 源 demandsentdate
-- 表: bpms.sync_loan_foreclosure | 运行于: mysql_prod（只读）
-- as-of: 主表无 dataasof/fctrdt（upsert，update_time 实测全 NULL）；ETL 载入≈2026-06-03（取自 sync_fcl_stage_info.update_time）
SELECT '2026-06-01' AS data_date, COUNT(*) AS total, COUNT(`timeline_notice_of_intent_date`) AS non_null,
       MIN(`timeline_notice_of_intent_date`) AS min_dt, MAX(`timeline_notice_of_intent_date`) AS max_dt
FROM   bpms.sync_loan_foreclosure;</t>
        </is>
      </c>
      <c r="T35" s="124" t="inlineStr">
        <is>
          <t>[BPS prod·数据日 2026-06-01(主表无嵌入,同 ETL 周期 Newrez 源日)·ETL载入 2026-06-03] 非空 5/89 · 区间 2024-05-17~2025-04-22</t>
        </is>
      </c>
    </row>
    <row r="36" ht="40" customHeight="1" s="74">
      <c r="A36" s="12" t="n">
        <v>31</v>
      </c>
      <c r="B36" s="12" t="inlineStr">
        <is>
          <t>2.3 FCL时间轴字段 — Time</t>
        </is>
      </c>
      <c r="C36" s="16" t="inlineStr">
        <is>
          <t>demand_sent_date</t>
        </is>
      </c>
      <c r="D36" s="17" t="inlineStr">
        <is>
          <t>newrez.portnewrezfc.demandsentdate</t>
        </is>
      </c>
      <c r="E36" s="12" t="inlineStr">
        <is>
          <t>DATE</t>
        </is>
      </c>
      <c r="F36" s="12" t="inlineStr">
        <is>
          <t>P1</t>
        </is>
      </c>
      <c r="G36" s="12" t="inlineStr">
        <is>
          <t>止赎前催款函/违约通知发出日期；触发BPS DEMAND阶段分类</t>
        </is>
      </c>
      <c r="H36" s="12" t="inlineStr">
        <is>
          <t>YYYY-MM-DD</t>
        </is>
      </c>
      <c r="I36" s="48" t="inlineStr">
        <is>
          <t>YYYY-MM-DD</t>
        </is>
      </c>
      <c r="J36" s="48" t="inlineStr">
        <is>
          <t>2024-02-01</t>
        </is>
      </c>
      <c r="K36" s="12" t="inlineStr">
        <is>
          <t>DEMAND阶段分类触发 / demand_start_date（聚合页）</t>
        </is>
      </c>
      <c r="L36" s="131" t="inlineStr">
        <is>
          <t>直接取值（demandsentdate → timeline_notice_of_intent_date；同 noi_date）</t>
        </is>
      </c>
      <c r="M36" s="7" t="inlineStr">
        <is>
          <t>✅ 85.9%（demandsentdate，2021-10-18~2026-04-20，见doc 13 Q5）</t>
        </is>
      </c>
      <c r="N36" s="126" t="inlineStr">
        <is>
          <t>-- 验证 demand_sent_date 取值样例（最新快照取10笔，快速查看字段的样子）
-- 源表: newrez.portnewrezfc | 运行于: mysql_dev
SELECT loanid, dataasof, demandsentdate
FROM   newrez.portnewrezfc
WHERE  dataasof = '2026-06-01'
  AND  demandsentdate IS NOT NULL
LIMIT  10;</t>
        </is>
      </c>
      <c r="O36" s="68" t="inlineStr">
        <is>
          <t>[data_date 2026-06-01] 2024-12-05 | 2026-04-15 | 2025-06-16 | 2026-04-17 | 2026-05-29 | 2026-04-13 | 2026-01-22 | 2026-05-04 | 2025-11-24 | 2025-12-19（10笔）</t>
        </is>
      </c>
      <c r="S36" s="124" t="inlineStr">
        <is>
          <t>-- 验证 BPS timeline_notice_of_intent_date 取值（date）— 同 noi_date（源 demandsentdate）
-- 表: bpms.sync_loan_foreclosure | 运行于: mysql_prod（只读）
-- as-of: 主表无 dataasof/fctrdt（upsert，update_time 实测全 NULL）；ETL 载入≈2026-06-03（取自 sync_fcl_stage_info.update_time）
SELECT '2026-06-01' AS data_date, COUNT(*) AS total, COUNT(`timeline_notice_of_intent_date`) AS non_null,
       MIN(`timeline_notice_of_intent_date`) AS min_dt, MAX(`timeline_notice_of_intent_date`) AS max_dt
FROM   bpms.sync_loan_foreclosure;</t>
        </is>
      </c>
      <c r="T36" s="124" t="inlineStr">
        <is>
          <t>[BPS prod·数据日 2026-06-01(主表无嵌入,同 ETL 周期 Newrez 源日)·ETL载入 2026-06-03] 非空 5/89 · 区间 2024-05-17~2025-04-22</t>
        </is>
      </c>
    </row>
    <row r="37" ht="40" customHeight="1" s="74">
      <c r="A37" s="12" t="n">
        <v>32</v>
      </c>
      <c r="B37" s="12" t="inlineStr">
        <is>
          <t>2.3 FCL时间轴字段 — Time</t>
        </is>
      </c>
      <c r="C37" s="16" t="inlineStr">
        <is>
          <t>demand_expiration_date</t>
        </is>
      </c>
      <c r="D37" s="17" t="inlineStr">
        <is>
          <t>newrez.portnewrezfc.demandexpirationdate</t>
        </is>
      </c>
      <c r="E37" s="12" t="inlineStr">
        <is>
          <t>DATE</t>
        </is>
      </c>
      <c r="F37" s="12" t="inlineStr">
        <is>
          <t>P1</t>
        </is>
      </c>
      <c r="G37" s="12" t="inlineStr">
        <is>
          <t>NOI/催款函到期日；计算：actual_notice_of_intent_days = demandexpirationdate − demandsentdate</t>
        </is>
      </c>
      <c r="H37" s="12" t="inlineStr">
        <is>
          <t>YYYY-MM-DD</t>
        </is>
      </c>
      <c r="I37" s="48" t="inlineStr">
        <is>
          <t>YYYY-MM-DD</t>
        </is>
      </c>
      <c r="J37" s="48" t="inlineStr">
        <is>
          <t>2024-03-02</t>
        </is>
      </c>
      <c r="K37" s="12" t="inlineStr">
        <is>
          <t>Timeline &gt; timeline_notice_of_intent_end_date</t>
        </is>
      </c>
      <c r="L37" s="131" t="inlineStr">
        <is>
          <t>直接取值（demandexpirationdate → timeline_notice_of_intent_end_date）</t>
        </is>
      </c>
      <c r="M37" s="7" t="inlineStr">
        <is>
          <t>✅ 85.7%</t>
        </is>
      </c>
      <c r="N37" s="126" t="inlineStr">
        <is>
          <t>-- 验证 demand_expiration_date 取值样例（最新快照取10笔，快速查看字段的样子）
-- 源表: newrez.portnewrezfc | 运行于: mysql_dev
SELECT loanid, dataasof, demandexpirationdate
FROM   newrez.portnewrezfc
WHERE  dataasof = '2026-06-01'
  AND  demandexpirationdate IS NOT NULL
LIMIT  10;</t>
        </is>
      </c>
      <c r="O37" s="68" t="inlineStr">
        <is>
          <t>[data_date 2026-06-01] 2025-02-08 | 2026-05-20 | 2025-12-19 | 2026-05-17 | 2026-06-13 | 2026-04-28 | 2026-02-21 | 2026-05-20 | 2025-12-19 | 2026-01-18（10笔）</t>
        </is>
      </c>
      <c r="S37" s="124" t="inlineStr">
        <is>
          <t>-- 验证 BPS timeline_notice_of_intent_end_date 取值（date）
-- 表: bpms.sync_loan_foreclosure | 运行于: mysql_prod（只读）
-- as-of: 主表无 dataasof/fctrdt（upsert，update_time 实测全 NULL）；ETL 载入≈2026-06-03（取自 sync_fcl_stage_info.update_time）
SELECT '2026-06-01' AS data_date, COUNT(*) AS total, COUNT(`timeline_notice_of_intent_end_date`) AS non_null,
       MIN(`timeline_notice_of_intent_end_date`) AS min_dt, MAX(`timeline_notice_of_intent_end_date`) AS max_dt
FROM   bpms.sync_loan_foreclosure;</t>
        </is>
      </c>
      <c r="T37" s="124" t="inlineStr">
        <is>
          <t>[BPS prod·数据日 2026-06-01(主表无嵌入,同 ETL 周期 Newrez 源日)·ETL载入 2026-06-03] 非空 0/89（prod 全空）</t>
        </is>
      </c>
    </row>
    <row r="38" ht="40" customHeight="1" s="74">
      <c r="A38" s="12" t="n">
        <v>33</v>
      </c>
      <c r="B38" s="12" t="inlineStr">
        <is>
          <t>2.3 FCL时间轴字段 — Time</t>
        </is>
      </c>
      <c r="C38" s="16" t="inlineStr">
        <is>
          <t>fcl_setup_date</t>
        </is>
      </c>
      <c r="D38" s="17" t="inlineStr">
        <is>
          <t>newrez.portnewrezfc.fcsetupdate</t>
        </is>
      </c>
      <c r="E38" s="12" t="inlineStr">
        <is>
          <t>DATE</t>
        </is>
      </c>
      <c r="F38" s="12" t="inlineStr">
        <is>
          <t>P1</t>
        </is>
      </c>
      <c r="G38" s="12" t="inlineStr">
        <is>
          <t>FCL内部开设日期（BPS系统建案日）；Newrez通常与fcreferraldate同一日期</t>
        </is>
      </c>
      <c r="H38" s="12" t="inlineStr">
        <is>
          <t>YYYY-MM-DD</t>
        </is>
      </c>
      <c r="I38" s="48" t="inlineStr">
        <is>
          <t>YYYY-MM-DD</t>
        </is>
      </c>
      <c r="J38" s="48" t="inlineStr">
        <is>
          <t>2024-01-10</t>
        </is>
      </c>
      <c r="K38" s="12" t="inlineStr">
        <is>
          <t>Timeline &gt; timeline_approved_for_referral_date</t>
        </is>
      </c>
      <c r="L38" s="131" t="inlineStr">
        <is>
          <t>直接取值（fcsetupdate → timeline_approved_for_referral_date）</t>
        </is>
      </c>
      <c r="M38" s="7" t="inlineStr">
        <is>
          <t>✅ 100%（fcsetupdate，2024-02-07~2026-05-26）</t>
        </is>
      </c>
      <c r="N38" s="126" t="inlineStr">
        <is>
          <t>-- 验证 fcl_setup_date 取值样例（最新快照取10笔，快速查看字段的样子）
-- 源表: newrez.portnewrezfc | 运行于: mysql_dev
SELECT loanid, dataasof, fcsetupdate
FROM   newrez.portnewrezfc
WHERE  dataasof = '2026-06-01'
  AND  fcsetupdate IS NOT NULL
LIMIT  10;</t>
        </is>
      </c>
      <c r="O38" s="68" t="inlineStr">
        <is>
          <t>[data_date 2026-06-01] 2025-02-18 | 2025-10-09 | 2026-05-26 | 2026-03-05 | 2026-01-28 | 2026-03-16 | 2026-01-29 | 2026-05-22 | 2026-05-26 | 2026-01-20（10笔）</t>
        </is>
      </c>
      <c r="S38" s="124" t="inlineStr">
        <is>
          <t>-- 验证 BPS timeline_approved_for_referral_date 取值（date）
-- 表: bpms.sync_loan_foreclosure | 运行于: mysql_prod（只读）
-- as-of: 主表无 dataasof/fctrdt（upsert，update_time 实测全 NULL）；ETL 载入≈2026-06-03（取自 sync_fcl_stage_info.update_time）
SELECT '2026-06-01' AS data_date, COUNT(*) AS total, COUNT(`timeline_approved_for_referral_date`) AS non_null,
       MIN(`timeline_approved_for_referral_date`) AS min_dt, MAX(`timeline_approved_for_referral_date`) AS max_dt
FROM   bpms.sync_loan_foreclosure;</t>
        </is>
      </c>
      <c r="T38" s="124" t="inlineStr">
        <is>
          <t>[BPS prod·数据日 2026-06-01(主表无嵌入,同 ETL 周期 Newrez 源日)·ETL载入 2026-06-03] 非空 0/89（prod 全空）</t>
        </is>
      </c>
    </row>
    <row r="39" ht="40" customHeight="1" s="74">
      <c r="A39" s="12" t="n">
        <v>34</v>
      </c>
      <c r="B39" s="12" t="inlineStr">
        <is>
          <t>2.3 FCL时间轴字段 — Time</t>
        </is>
      </c>
      <c r="C39" s="16" t="inlineStr">
        <is>
          <t>first_legal_date</t>
        </is>
      </c>
      <c r="D39" s="17" t="inlineStr">
        <is>
          <t>newrez.portnewrezfc.firstlegaldate</t>
        </is>
      </c>
      <c r="E39" s="12" t="inlineStr">
        <is>
          <t>DATE</t>
        </is>
      </c>
      <c r="F39" s="12" t="inlineStr">
        <is>
          <t>P1</t>
        </is>
      </c>
      <c r="G39" s="12" t="inlineStr">
        <is>
          <t>止赎诉讼首次向法院提起的日期；Non-Judicial州通常为空；触发FIRST_LEGAL阶段</t>
        </is>
      </c>
      <c r="H39" s="12" t="inlineStr">
        <is>
          <t>YYYY-MM-DD；Non-Judicial州可为空</t>
        </is>
      </c>
      <c r="I39" s="48" t="inlineStr">
        <is>
          <t>YYYY-MM-DD</t>
        </is>
      </c>
      <c r="J39" s="48" t="inlineStr">
        <is>
          <t>2024-02-01</t>
        </is>
      </c>
      <c r="K39" s="12" t="inlineStr">
        <is>
          <t>Timeline &gt; timeline_first_legal_date / FIRST_LEGAL阶段</t>
        </is>
      </c>
      <c r="L39" s="131" t="inlineStr">
        <is>
          <t>直接取值（firstlegaldate → timeline_first_legal_date；非司法州常空）</t>
        </is>
      </c>
      <c r="M39" s="8" t="inlineStr">
        <is>
          <t>⚠️ 57.6% (Non-Judicial州部分预期为空)</t>
        </is>
      </c>
      <c r="N39" s="128" t="inlineStr">
        <is>
          <t>-- 验证 first_legal_date 取值样例（最新快照取10笔，快速查看字段的样子）
-- 源表: newrez.portnewrezfc | 运行于: mysql_dev
SELECT loanid, dataasof, firstlegaldate
FROM   newrez.portnewrezfc
WHERE  dataasof = '2026-06-01'
  AND  firstlegaldate IS NOT NULL
LIMIT  10;</t>
        </is>
      </c>
      <c r="O39" s="68" t="inlineStr">
        <is>
          <t>[data_date 2026-06-01] 2026-04-23 | 2026-04-28 | 2026-04-30 | 2026-02-25 | 2026-03-12 | 2025-10-30 | 2026-04-28 | 2026-05-28 | 2025-08-19 | 2026-02-19（10笔）</t>
        </is>
      </c>
      <c r="S39" s="124" t="inlineStr">
        <is>
          <t>-- 验证 BPS timeline_first_legal_date 取值（date）
-- 表: bpms.sync_loan_foreclosure | 运行于: mysql_prod（只读）
-- as-of: 主表无 dataasof/fctrdt（upsert，update_time 实测全 NULL）；ETL 载入≈2026-06-03（取自 sync_fcl_stage_info.update_time）
SELECT '2026-06-01' AS data_date, COUNT(*) AS total, COUNT(`timeline_first_legal_date`) AS non_null,
       MIN(`timeline_first_legal_date`) AS min_dt, MAX(`timeline_first_legal_date`) AS max_dt
FROM   bpms.sync_loan_foreclosure;</t>
        </is>
      </c>
      <c r="T39" s="124" t="inlineStr">
        <is>
          <t>[BPS prod·数据日 2026-06-01(主表无嵌入,同 ETL 周期 Newrez 源日)·ETL载入 2026-06-03] 非空 47/89 · 区间 2018-10-29~2026-05-21</t>
        </is>
      </c>
    </row>
    <row r="40" ht="40" customHeight="1" s="74">
      <c r="A40" s="12" t="n">
        <v>35</v>
      </c>
      <c r="B40" s="12" t="inlineStr">
        <is>
          <t>2.3 FCL时间轴字段 — Time</t>
        </is>
      </c>
      <c r="C40" s="16" t="inlineStr">
        <is>
          <t>service_complete_date</t>
        </is>
      </c>
      <c r="D40" s="17" t="inlineStr">
        <is>
          <t>newrez.portnewrezfc.servicecompletedate</t>
        </is>
      </c>
      <c r="E40" s="12" t="inlineStr">
        <is>
          <t>DATE</t>
        </is>
      </c>
      <c r="F40" s="12" t="inlineStr">
        <is>
          <t>P1</t>
        </is>
      </c>
      <c r="G40" s="12" t="inlineStr">
        <is>
          <t>法律文件成功送达借款人的日期；触发SERVICE阶段</t>
        </is>
      </c>
      <c r="H40" s="12" t="inlineStr">
        <is>
          <t>YYYY-MM-DD</t>
        </is>
      </c>
      <c r="I40" s="48" t="inlineStr">
        <is>
          <t>YYYY-MM-DD</t>
        </is>
      </c>
      <c r="J40" s="48" t="inlineStr">
        <is>
          <t>2024-03-10</t>
        </is>
      </c>
      <c r="K40" s="12" t="inlineStr">
        <is>
          <t>Timeline &gt; timeline_service_date / SERVICE阶段</t>
        </is>
      </c>
      <c r="L40" s="131" t="inlineStr">
        <is>
          <t>直接取值（servicecompletedate → timeline_service_date）</t>
        </is>
      </c>
      <c r="M40" s="8" t="inlineStr">
        <is>
          <t>⚠️ 28.9% (早期阶段贷款预期为空)</t>
        </is>
      </c>
      <c r="N40" s="128" t="inlineStr">
        <is>
          <t>-- 验证 service_complete_date 取值样例（最新快照取10笔，快速查看字段的样子）
-- 源表: newrez.portnewrezfc | 运行于: mysql_dev
SELECT loanid, dataasof, servicecompletedate
FROM   newrez.portnewrezfc
WHERE  dataasof = '2026-06-01'
  AND  servicecompletedate IS NOT NULL
LIMIT  10;</t>
        </is>
      </c>
      <c r="O40" s="68" t="inlineStr">
        <is>
          <t>[data_date 2026-06-01] 2024-11-26 | 2025-05-23 | 2024-04-01 | 2025-11-19 | 2025-03-04 | 2025-08-14 | 2025-06-02 | 2025-07-18 | 2026-01-13 | 2025-05-03（10笔）</t>
        </is>
      </c>
      <c r="S40" s="124" t="inlineStr">
        <is>
          <t>-- 验证 BPS timeline_service_date 取值（date）
-- 表: bpms.sync_loan_foreclosure | 运行于: mysql_prod（只读）
-- as-of: 主表无 dataasof/fctrdt（upsert，update_time 实测全 NULL）；ETL 载入≈2026-06-03（取自 sync_fcl_stage_info.update_time）
SELECT '2026-06-01' AS data_date, COUNT(*) AS total, COUNT(`timeline_service_date`) AS non_null,
       MIN(`timeline_service_date`) AS min_dt, MAX(`timeline_service_date`) AS max_dt
FROM   bpms.sync_loan_foreclosure;</t>
        </is>
      </c>
      <c r="T40" s="124" t="inlineStr">
        <is>
          <t>[BPS prod·数据日 2026-06-01(主表无嵌入,同 ETL 周期 Newrez 源日)·ETL载入 2026-06-03] 非空 19/89 · 区间 2018-12-10~2026-02-16</t>
        </is>
      </c>
    </row>
    <row r="41" ht="40" customHeight="1" s="74">
      <c r="A41" s="13" t="n">
        <v>36</v>
      </c>
      <c r="B41" s="13" t="inlineStr">
        <is>
          <t>2.3 FCL时间轴字段 — Time</t>
        </is>
      </c>
      <c r="C41" s="19" t="inlineStr">
        <is>
          <t>publication_date</t>
        </is>
      </c>
      <c r="D41" s="20" t="inlineStr">
        <is>
          <t>— (无对应字段，Newrez未提供)</t>
        </is>
      </c>
      <c r="E41" s="13" t="inlineStr">
        <is>
          <t>DATE</t>
        </is>
      </c>
      <c r="F41" s="13" t="inlineStr">
        <is>
          <t>P2</t>
        </is>
      </c>
      <c r="G41" s="13" t="inlineStr">
        <is>
          <t>止赎通知在报纸/官方渠道发布的日期（Non-Judicial州必要步骤）；Newrez不提供</t>
        </is>
      </c>
      <c r="H41" s="13" t="inlineStr">
        <is>
          <t>YYYY-MM-DD</t>
        </is>
      </c>
      <c r="I41" s="49" t="inlineStr">
        <is>
          <t>YYYY-MM-DD</t>
        </is>
      </c>
      <c r="J41" s="49" t="inlineStr">
        <is>
          <t>—</t>
        </is>
      </c>
      <c r="K41" s="13" t="inlineStr">
        <is>
          <t>Timeline &gt; timeline_publication_date / PUBLICATION阶段</t>
        </is>
      </c>
      <c r="L41" s="132" t="inlineStr">
        <is>
          <t>Newrez 未提供，timeline_publication_date 恒空</t>
        </is>
      </c>
      <c r="M41" s="6" t="inlineStr">
        <is>
          <t>❌ 0% (Newrez未提供，见doc 13 Q1)</t>
        </is>
      </c>
      <c r="N41" s="120" t="inlineStr">
        <is>
          <t>-- N/A — Newrez未提供（无可验证源）</t>
        </is>
      </c>
      <c r="O41" s="68" t="inlineStr">
        <is>
          <t>N/A（无可验证源）</t>
        </is>
      </c>
      <c r="S41" s="124" t="inlineStr">
        <is>
          <t>-- 验证 BPS timeline_publication_date 取值（date）— Newrez 未提供，预期恒空
-- 表: bpms.sync_loan_foreclosure | 运行于: mysql_prod（只读）
-- as-of: 主表无 dataasof/fctrdt（upsert，update_time 实测全 NULL）；ETL 载入≈2026-06-03（取自 sync_fcl_stage_info.update_time）
SELECT '2026-06-01' AS data_date, COUNT(*) AS total, COUNT(`timeline_publication_date`) AS non_null,
       MIN(`timeline_publication_date`) AS min_dt, MAX(`timeline_publication_date`) AS max_dt
FROM   bpms.sync_loan_foreclosure;</t>
        </is>
      </c>
      <c r="T41" s="124" t="inlineStr">
        <is>
          <t>[BPS prod·数据日 2026-06-01(主表无嵌入,同 ETL 周期 Newrez 源日)·ETL载入 2026-06-03] 非空 0/89（prod 全空）</t>
        </is>
      </c>
    </row>
    <row r="42" ht="40" customHeight="1" s="74">
      <c r="A42" s="13" t="n">
        <v>37</v>
      </c>
      <c r="B42" s="13" t="inlineStr">
        <is>
          <t>2.3 FCL时间轴字段 — Time</t>
        </is>
      </c>
      <c r="C42" s="19" t="inlineStr">
        <is>
          <t>title_received_date</t>
        </is>
      </c>
      <c r="D42" s="20" t="inlineStr">
        <is>
          <t>newrez.portnewrezfc.titlereceiveddate</t>
        </is>
      </c>
      <c r="E42" s="13" t="inlineStr">
        <is>
          <t>DATE</t>
        </is>
      </c>
      <c r="F42" s="13" t="inlineStr">
        <is>
          <t>P2</t>
        </is>
      </c>
      <c r="G42" s="13" t="inlineStr">
        <is>
          <t>律师事务所收到产权调查报告的日期；Newrez字段存在但始终为空</t>
        </is>
      </c>
      <c r="H42" s="13" t="inlineStr">
        <is>
          <t>YYYY-MM-DD</t>
        </is>
      </c>
      <c r="I42" s="49" t="inlineStr">
        <is>
          <t>YYYY-MM-DD</t>
        </is>
      </c>
      <c r="J42" s="49" t="inlineStr">
        <is>
          <t>2025-04-01</t>
        </is>
      </c>
      <c r="K42" s="13" t="inlineStr">
        <is>
          <t>Timeline &gt; timeline_title_report_received_date</t>
        </is>
      </c>
      <c r="L42" s="132" t="inlineStr">
        <is>
          <t>直接取值（titlereceiveddate → timeline_title_report_received_date；Newrez 多为空）</t>
        </is>
      </c>
      <c r="M42" s="6" t="inlineStr">
        <is>
          <t>❌ 0% (字段存在但始终为空，见doc 13 Q8)</t>
        </is>
      </c>
      <c r="N42" s="120" t="inlineStr">
        <is>
          <t>-- 验证 title_received_date 取值样例（最新快照取10笔，快速查看字段的样子）
-- 源表: newrez.portnewrezfc | 运行于: mysql_dev
SELECT loanid, dataasof, titlereceiveddate
FROM   newrez.portnewrezfc
WHERE  dataasof = '2026-06-01'
  AND  titlereceiveddate IS NOT NULL
LIMIT  10;</t>
        </is>
      </c>
      <c r="O42" s="68" t="inlineStr">
        <is>
          <t>[data_date 2026-06-01] 2026-04-26 | 2025-12-02 | 2025-03-24 | 2025-12-02（4笔）</t>
        </is>
      </c>
      <c r="S42" s="124" t="inlineStr">
        <is>
          <t>-- 验证 BPS timeline_title_report_received_date 取值（date）
-- 表: bpms.sync_loan_foreclosure | 运行于: mysql_prod（只读）
-- as-of: 主表无 dataasof/fctrdt（upsert，update_time 实测全 NULL）；ETL 载入≈2026-06-03（取自 sync_fcl_stage_info.update_time）
SELECT '2026-06-01' AS data_date, COUNT(*) AS total, COUNT(`timeline_title_report_received_date`) AS non_null,
       MIN(`timeline_title_report_received_date`) AS min_dt, MAX(`timeline_title_report_received_date`) AS max_dt
FROM   bpms.sync_loan_foreclosure;</t>
        </is>
      </c>
      <c r="T42" s="124" t="inlineStr">
        <is>
          <t>[BPS prod·数据日 2026-06-01(主表无嵌入,同 ETL 周期 Newrez 源日)·ETL载入 2026-06-03] 非空 4/89 · 区间 2025-03-24~2026-04-26</t>
        </is>
      </c>
    </row>
    <row r="43" ht="40" customHeight="1" s="74">
      <c r="A43" s="13" t="n">
        <v>38</v>
      </c>
      <c r="B43" s="13" t="inlineStr">
        <is>
          <t>2.3 FCL时间轴字段 — Time</t>
        </is>
      </c>
      <c r="C43" s="19" t="inlineStr">
        <is>
          <t>title_clear_date</t>
        </is>
      </c>
      <c r="D43" s="20" t="inlineStr">
        <is>
          <t>newrez.portnewrezfc.titlecleardate</t>
        </is>
      </c>
      <c r="E43" s="13" t="inlineStr">
        <is>
          <t>DATE</t>
        </is>
      </c>
      <c r="F43" s="13" t="inlineStr">
        <is>
          <t>P2</t>
        </is>
      </c>
      <c r="G43" s="13" t="inlineStr">
        <is>
          <t>产权调查确认无未知留置权的日期；同时适用于初步和最终产权清除；Newrez不提供</t>
        </is>
      </c>
      <c r="H43" s="13" t="inlineStr">
        <is>
          <t>YYYY-MM-DD</t>
        </is>
      </c>
      <c r="I43" s="49" t="inlineStr">
        <is>
          <t>YYYY-MM-DD</t>
        </is>
      </c>
      <c r="J43" s="49" t="inlineStr">
        <is>
          <t>2025-04-15</t>
        </is>
      </c>
      <c r="K43" s="13" t="inlineStr">
        <is>
          <t>Timeline &gt; 初步/最终产权清除日期</t>
        </is>
      </c>
      <c r="L43" s="132" t="inlineStr">
        <is>
          <t>直接取值（titlecleardate → timeline_preliminary_title_cleared_date / final_title_cleared）</t>
        </is>
      </c>
      <c r="M43" s="6" t="inlineStr">
        <is>
          <t>❌ 0% (字段存在但始终为空，见doc 13 Q8)</t>
        </is>
      </c>
      <c r="N43" s="120" t="inlineStr">
        <is>
          <t>-- 验证 title_clear_date 取值样例（最新快照取10笔，快速查看字段的样子）
-- 源表: newrez.portnewrezfc | 运行于: mysql_dev
SELECT loanid, dataasof, titlecleardate
FROM   newrez.portnewrezfc
WHERE  dataasof = '2026-06-01'
  AND  titlecleardate IS NOT NULL
LIMIT  10;</t>
        </is>
      </c>
      <c r="O43" s="68" t="inlineStr">
        <is>
          <t>[data_date 2026-06-01] 2026-04-26 | 2025-03-24 | 2026-02-02（3笔）</t>
        </is>
      </c>
      <c r="S43" s="124" t="inlineStr">
        <is>
          <t>-- 验证 BPS timeline_preliminary_title_cleared_date 取值（date）
-- 表: bpms.sync_loan_foreclosure | 运行于: mysql_prod（只读）
-- as-of: 主表无 dataasof/fctrdt（upsert，update_time 实测全 NULL）；ETL 载入≈2026-06-03（取自 sync_fcl_stage_info.update_time）
SELECT '2026-06-01' AS data_date, COUNT(*) AS total, COUNT(`timeline_preliminary_title_cleared_date`) AS non_null,
       MIN(`timeline_preliminary_title_cleared_date`) AS min_dt, MAX(`timeline_preliminary_title_cleared_date`) AS max_dt
FROM   bpms.sync_loan_foreclosure;</t>
        </is>
      </c>
      <c r="T43" s="124" t="inlineStr">
        <is>
          <t>[BPS prod·数据日 2026-06-01(主表无嵌入,同 ETL 周期 Newrez 源日)·ETL载入 2026-06-03] 非空 3/89 · 区间 2025-03-24~2026-04-26</t>
        </is>
      </c>
    </row>
    <row r="44" ht="40" customHeight="1" s="74">
      <c r="A44" s="12" t="n">
        <v>39</v>
      </c>
      <c r="B44" s="12" t="inlineStr">
        <is>
          <t>2.3 FCL时间轴字段 — Time</t>
        </is>
      </c>
      <c r="C44" s="16" t="inlineStr">
        <is>
          <t>judgement_hearing_scheduled</t>
        </is>
      </c>
      <c r="D44" s="17" t="inlineStr">
        <is>
          <t>newrez.portnewrezfc.fcjudgmenthearingscheduled</t>
        </is>
      </c>
      <c r="E44" s="12" t="inlineStr">
        <is>
          <t>DATE</t>
        </is>
      </c>
      <c r="F44" s="12" t="inlineStr">
        <is>
          <t>P1</t>
        </is>
      </c>
      <c r="G44" s="12" t="inlineStr">
        <is>
          <t>止赎判决听证会的计划日期（未来计划事件）；仅Judicial州；触发JUDGEMENT阶段（优先级2）；ETL代码确认：fcjudgment_hearing_scheduled AS timeline_judgement_date</t>
        </is>
      </c>
      <c r="H44" s="12" t="inlineStr">
        <is>
          <t>YYYY-MM-DD；仅Judicial州</t>
        </is>
      </c>
      <c r="I44" s="48" t="inlineStr">
        <is>
          <t>YYYY-MM-DD（Judicial州）</t>
        </is>
      </c>
      <c r="J44" s="48" t="inlineStr">
        <is>
          <t>2026-01-18</t>
        </is>
      </c>
      <c r="K44" s="12" t="inlineStr">
        <is>
          <t>Timeline &gt; timeline_judgement_date / judgement_start_date（聚合页）/ JUDGEMENT阶段</t>
        </is>
      </c>
      <c r="L44" s="131" t="inlineStr">
        <is>
          <t>直接取值（fcjudgmenthearingscheduled → timeline_judgement_hearing_set_date / timeline_judgement_date）</t>
        </is>
      </c>
      <c r="M44" s="7" t="inlineStr">
        <is>
          <t>✅ 11.9% (仅Judicial州)</t>
        </is>
      </c>
      <c r="N44" s="126" t="inlineStr">
        <is>
          <t>-- 验证 judgement_hearing_scheduled 取值样例（最新快照取10笔，快速查看字段的样子）
-- 源表: newrez.portnewrezfc | 运行于: mysql_dev
SELECT loanid, dataasof, fcjudgmenthearingscheduled
FROM   newrez.portnewrezfc
WHERE  dataasof = '2026-06-01'
  AND  fcjudgmenthearingscheduled IS NOT NULL
LIMIT  10;</t>
        </is>
      </c>
      <c r="O44" s="68" t="inlineStr">
        <is>
          <t>[data_date 2026-06-01] 2025-11-14 | 2026-01-18 | 2026-03-27 | 2025-10-15 | 2026-02-04 | 2026-08-21 | 2025-09-16 | 2026-04-13 | 2025-11-29 | 2020-01-22（10笔）</t>
        </is>
      </c>
      <c r="S44" s="124" t="inlineStr">
        <is>
          <t>-- 验证 BPS timeline_judgement_hearing_set_date 取值（date）
-- 表: bpms.sync_loan_foreclosure | 运行于: mysql_prod（只读）
-- as-of: 主表无 dataasof/fctrdt（upsert，update_time 实测全 NULL）；ETL 载入≈2026-06-03（取自 sync_fcl_stage_info.update_time）
SELECT '2026-06-01' AS data_date, COUNT(*) AS total, COUNT(`timeline_judgement_hearing_set_date`) AS non_null,
       MIN(`timeline_judgement_hearing_set_date`) AS min_dt, MAX(`timeline_judgement_hearing_set_date`) AS max_dt
FROM   bpms.sync_loan_foreclosure;</t>
        </is>
      </c>
      <c r="T44" s="124" t="inlineStr">
        <is>
          <t>[BPS prod·数据日 2026-06-01(主表无嵌入,同 ETL 周期 Newrez 源日)·ETL载入 2026-06-03] 非空 10/89 · 区间 2023-12-14~2026-05-14</t>
        </is>
      </c>
    </row>
    <row r="45" ht="40" customHeight="1" s="74">
      <c r="A45" s="12" t="n">
        <v>40</v>
      </c>
      <c r="B45" s="12" t="inlineStr">
        <is>
          <t>2.3 FCL时间轴字段 — Time</t>
        </is>
      </c>
      <c r="C45" s="16" t="inlineStr">
        <is>
          <t>judgement_entered_date</t>
        </is>
      </c>
      <c r="D45" s="17" t="inlineStr">
        <is>
          <t>newrez.portnewrezfc.fcjudgmententered</t>
        </is>
      </c>
      <c r="E45" s="12" t="inlineStr">
        <is>
          <t>DATE</t>
        </is>
      </c>
      <c r="F45" s="12" t="inlineStr">
        <is>
          <t>P1</t>
        </is>
      </c>
      <c r="G45" s="12" t="inlineStr">
        <is>
          <t>法院正式记录判决的日期（已完成法律事实）；与fcjudgmenthearingscheduled相差约11天属正常——两者测量完全不同时间点，非ETL延迟</t>
        </is>
      </c>
      <c r="H45" s="12" t="inlineStr">
        <is>
          <t>YYYY-MM-DD；仅Judicial州</t>
        </is>
      </c>
      <c r="I45" s="48" t="inlineStr">
        <is>
          <t>YYYY-MM-DD（Judicial州）</t>
        </is>
      </c>
      <c r="J45" s="48" t="inlineStr">
        <is>
          <t>2026-01-07</t>
        </is>
      </c>
      <c r="K45" s="12" t="inlineStr">
        <is>
          <t>ETL中间表 port.basic_data_loan_fcl.fcjudgment_end_date（非直接BPS显示字段）</t>
        </is>
      </c>
      <c r="L45" s="131" t="inlineStr">
        <is>
          <t>N/A — BPS timeline_judgement_date 实取 fcjudgmenthearingscheduled，非 fcjudgmententered</t>
        </is>
      </c>
      <c r="M45" s="7" t="inlineStr">
        <is>
          <t>✅ 7.9% (仅Judicial州)</t>
        </is>
      </c>
      <c r="N45" s="126" t="inlineStr">
        <is>
          <t>-- 验证 judgement_entered_date 取值样例（最新快照取10笔，快速查看字段的样子）
-- 源表: newrez.portnewrezfc | 运行于: mysql_dev
SELECT loanid, dataasof, fcjudgmententered
FROM   newrez.portnewrezfc
WHERE  dataasof = '2026-06-01'
  AND  fcjudgmententered IS NOT NULL
LIMIT  10;</t>
        </is>
      </c>
      <c r="O45" s="68" t="inlineStr">
        <is>
          <t>[data_date 2026-06-01] 2025-01-10 | 2025-10-20 | 2026-01-07 | 2026-04-08 | 2025-08-25 | 2025-12-29 | 2026-02-04 | 2025-08-13 | 2026-02-13 | 2026-03-20（10笔）</t>
        </is>
      </c>
      <c r="S45" s="124" t="inlineStr">
        <is>
          <t>-- N/A — BPS timeline_judgement_date 实取 hearing scheduled，非 fcjudgmententered</t>
        </is>
      </c>
      <c r="T45" s="124" t="inlineStr">
        <is>
          <t>N/A — 不映射到 BPS FCL 同步表（见左侧说明）</t>
        </is>
      </c>
    </row>
    <row r="46" ht="40" customHeight="1" s="74">
      <c r="A46" s="12" t="n">
        <v>41</v>
      </c>
      <c r="B46" s="12" t="inlineStr">
        <is>
          <t>2.3 FCL时间轴字段 — Time</t>
        </is>
      </c>
      <c r="C46" s="16" t="inlineStr">
        <is>
          <t>scheduled_sale_date</t>
        </is>
      </c>
      <c r="D46" s="17" t="inlineStr">
        <is>
          <t>newrez.portnewrezfc.fcscheduledsaledate</t>
        </is>
      </c>
      <c r="E46" s="12" t="inlineStr">
        <is>
          <t>DATE</t>
        </is>
      </c>
      <c r="F46" s="12" t="inlineStr">
        <is>
          <t>P1</t>
        </is>
      </c>
      <c r="G46" s="12" t="inlineStr">
        <is>
          <t>止赎拍卖计划日期；任何非空值立即触发最高优先级SALE阶段；随流程推进动态更新</t>
        </is>
      </c>
      <c r="H46" s="12" t="inlineStr">
        <is>
          <t>YYYY-MM-DD</t>
        </is>
      </c>
      <c r="I46" s="48" t="inlineStr">
        <is>
          <t>YYYY-MM-DD</t>
        </is>
      </c>
      <c r="J46" s="48" t="inlineStr">
        <is>
          <t>2024-05-15</t>
        </is>
      </c>
      <c r="K46" s="12" t="inlineStr">
        <is>
          <t>Timeline &gt; timeline_sale_date_projected_date / sale_start_date / SALE阶段（最高优先级1）</t>
        </is>
      </c>
      <c r="L46" s="131" t="inlineStr">
        <is>
          <t>直接取值（fcscheduledsaledate → timeline_sale_date_set_date / projected）</t>
        </is>
      </c>
      <c r="M46" s="7" t="inlineStr">
        <is>
          <t>✅ 18.2%</t>
        </is>
      </c>
      <c r="N46" s="126" t="inlineStr">
        <is>
          <t>-- 验证 scheduled_sale_date 取值样例（最新快照取10笔，快速查看字段的样子）
-- 源表: newrez.portnewrezfc | 运行于: mysql_dev
SELECT loanid, dataasof, fcscheduledsaledate
FROM   newrez.portnewrezfc
WHERE  dataasof = '2026-06-01'
  AND  fcscheduledsaledate IS NOT NULL
LIMIT  10;</t>
        </is>
      </c>
      <c r="O46" s="68" t="inlineStr">
        <is>
          <t>[data_date 2026-06-01] 2026-06-02 | 2025-09-09 | 2025-05-16 | 2025-08-26 | 2026-06-26 | 2025-06-05 | 2026-07-08 | 2026-06-10 | 2026-06-30 | 2026-07-09（10笔）</t>
        </is>
      </c>
      <c r="S46" s="124" t="inlineStr">
        <is>
          <t>-- 验证 BPS timeline_sale_date_set_date 取值（date）— 另 timeline_sale_date_projected_date
-- 表: bpms.sync_loan_foreclosure | 运行于: mysql_prod（只读）
-- as-of: 主表无 dataasof/fctrdt（upsert，update_time 实测全 NULL）；ETL 载入≈2026-06-03（取自 sync_fcl_stage_info.update_time）
SELECT '2026-06-01' AS data_date, COUNT(*) AS total, COUNT(`timeline_sale_date_set_date`) AS non_null,
       MIN(`timeline_sale_date_set_date`) AS min_dt, MAX(`timeline_sale_date_set_date`) AS max_dt
FROM   bpms.sync_loan_foreclosure;</t>
        </is>
      </c>
      <c r="T46" s="124" t="inlineStr">
        <is>
          <t>[BPS prod·数据日 2026-06-01(主表无嵌入,同 ETL 周期 Newrez 源日)·ETL载入 2026-06-03] 非空 14/89 · 区间 2025-01-23~2026-05-22</t>
        </is>
      </c>
    </row>
    <row r="47" ht="40" customHeight="1" s="74">
      <c r="A47" s="12" t="n">
        <v>42</v>
      </c>
      <c r="B47" s="12" t="inlineStr">
        <is>
          <t>2.3 FCL时间轴字段 — Time</t>
        </is>
      </c>
      <c r="C47" s="16" t="inlineStr">
        <is>
          <t>sale_held_date</t>
        </is>
      </c>
      <c r="D47" s="17" t="inlineStr">
        <is>
          <t>newrez.portnewrezfc.fcsalehelddate</t>
        </is>
      </c>
      <c r="E47" s="12" t="inlineStr">
        <is>
          <t>DATE</t>
        </is>
      </c>
      <c r="F47" s="12" t="inlineStr">
        <is>
          <t>P1</t>
        </is>
      </c>
      <c r="G47" s="12" t="inlineStr">
        <is>
          <t>止赎拍卖实际举行的日期；结合fcresults判断是否为第三方购买</t>
        </is>
      </c>
      <c r="H47" s="12" t="inlineStr">
        <is>
          <t>YYYY-MM-DD</t>
        </is>
      </c>
      <c r="I47" s="48" t="inlineStr">
        <is>
          <t>YYYY-MM-DD</t>
        </is>
      </c>
      <c r="J47" s="48" t="inlineStr">
        <is>
          <t>2024-05-15</t>
        </is>
      </c>
      <c r="K47" s="12" t="inlineStr">
        <is>
          <t>Timeline &gt; timeline_sale_date_held_date / 3rd Party Sale逻辑触发</t>
        </is>
      </c>
      <c r="L47" s="131" t="inlineStr">
        <is>
          <t>直接取值（fcsalehelddate → timeline_sale_date_held_date）</t>
        </is>
      </c>
      <c r="M47" s="7" t="inlineStr">
        <is>
          <t>✅ 2.1% (仅完成贷款)</t>
        </is>
      </c>
      <c r="N47" s="126" t="inlineStr">
        <is>
          <t>-- 验证 sale_held_date 取值样例（最新快照取10笔，快速查看字段的样子）
-- 源表: newrez.portnewrezfc | 运行于: mysql_dev
SELECT loanid, dataasof, fcsalehelddate
FROM   newrez.portnewrezfc
WHERE  dataasof = '2026-06-01'
  AND  fcsalehelddate IS NOT NULL
LIMIT  10;</t>
        </is>
      </c>
      <c r="O47" s="68" t="inlineStr">
        <is>
          <t>[data_date 2026-06-01] 2026-04-07 | 2025-12-04 | 2026-05-15 | 2026-05-22 | 2026-05-12 | 2025-10-14 | 2026-03-11 | 2025-11-04 | 2025-12-29（9笔）</t>
        </is>
      </c>
      <c r="S47" s="124" t="inlineStr">
        <is>
          <t>-- 验证 BPS timeline_sale_date_held_date 取值（date）
-- 表: bpms.sync_loan_foreclosure | 运行于: mysql_prod（只读）
-- as-of: 主表无 dataasof/fctrdt（upsert，update_time 实测全 NULL）；ETL 载入≈2026-06-03（取自 sync_fcl_stage_info.update_time）
SELECT '2026-06-01' AS data_date, COUNT(*) AS total, COUNT(`timeline_sale_date_held_date`) AS non_null,
       MIN(`timeline_sale_date_held_date`) AS min_dt, MAX(`timeline_sale_date_held_date`) AS max_dt
FROM   bpms.sync_loan_foreclosure;</t>
        </is>
      </c>
      <c r="T47" s="124" t="inlineStr">
        <is>
          <t>[BPS prod·数据日 2026-06-01(主表无嵌入,同 ETL 周期 Newrez 源日)·ETL载入 2026-06-03] 非空 11/89 · 区间 2025-01-23~2026-05-22</t>
        </is>
      </c>
    </row>
    <row r="48" ht="40" customHeight="1" s="74">
      <c r="A48" s="13" t="n">
        <v>43</v>
      </c>
      <c r="B48" s="13" t="inlineStr">
        <is>
          <t>2.3 FCL时间轴字段 — Time</t>
        </is>
      </c>
      <c r="C48" s="19" t="inlineStr">
        <is>
          <t>deed_recorded_date</t>
        </is>
      </c>
      <c r="D48" s="20" t="inlineStr">
        <is>
          <t>newrez.portnewrezfc.dtdeedrecorded</t>
        </is>
      </c>
      <c r="E48" s="13" t="inlineStr">
        <is>
          <t>DATE</t>
        </is>
      </c>
      <c r="F48" s="13" t="inlineStr">
        <is>
          <t>P2</t>
        </is>
      </c>
      <c r="G48" s="13" t="inlineStr">
        <is>
          <t>产权证书登记日期（止赎法律完成标志）；COALESCE第一选项</t>
        </is>
      </c>
      <c r="H48" s="13" t="inlineStr">
        <is>
          <t>YYYY-MM-DD</t>
        </is>
      </c>
      <c r="I48" s="49" t="inlineStr">
        <is>
          <t>YYYY-MM-DD</t>
        </is>
      </c>
      <c r="J48" s="49" t="inlineStr">
        <is>
          <t>2024-06-01</t>
        </is>
      </c>
      <c r="K48" s="13" t="inlineStr">
        <is>
          <t>Timeline &gt; timeline_foreclosure_completed_date（COALESCE优先选项）</t>
        </is>
      </c>
      <c r="L48" s="132" t="inlineStr">
        <is>
          <t>COALESCE(dtdeedrecorded, fcremovaldate) → timeline_foreclosure_completed_date</t>
        </is>
      </c>
      <c r="M48" s="7" t="inlineStr">
        <is>
          <t>✅ ~0% (仅完成贷款)</t>
        </is>
      </c>
      <c r="N48" s="126" t="inlineStr">
        <is>
          <t>-- 验证 deed_recorded_date 取值样例（最新快照取10笔，快速查看字段的样子）
-- 源表: newrez.portnewrezfc | 运行于: mysql_dev
SELECT loanid, dataasof, dtdeedrecorded
FROM   newrez.portnewrezfc
WHERE  dataasof = '2026-06-01'
  AND  dtdeedrecorded IS NOT NULL
LIMIT  10;</t>
        </is>
      </c>
      <c r="O48" s="68" t="inlineStr">
        <is>
          <t>[data_date 2026-06-01] 2026-04-28 | 2026-05-22 | 2025-10-28 | 2025-11-12（4笔）</t>
        </is>
      </c>
      <c r="S48" s="124" t="inlineStr">
        <is>
          <t>-- 验证 BPS timeline_foreclosure_completed_date 取值（date）— COALESCE(dtdeedrecorded,fcremovaldate)
-- 表: bpms.sync_loan_foreclosure | 运行于: mysql_prod（只读）
-- as-of: 主表无 dataasof/fctrdt（upsert，update_time 实测全 NULL）；ETL 载入≈2026-06-03（取自 sync_fcl_stage_info.update_time）
SELECT '2026-06-01' AS data_date, COUNT(*) AS total, COUNT(`timeline_foreclosure_completed_date`) AS non_null,
       MIN(`timeline_foreclosure_completed_date`) AS min_dt, MAX(`timeline_foreclosure_completed_date`) AS max_dt
FROM   bpms.sync_loan_foreclosure;</t>
        </is>
      </c>
      <c r="T48" s="124" t="inlineStr">
        <is>
          <t>[BPS prod·数据日 2026-06-01(主表无嵌入,同 ETL 周期 Newrez 源日)·ETL载入 2026-06-03] 非空 0/89（prod 全空）</t>
        </is>
      </c>
    </row>
    <row r="49" ht="40" customHeight="1" s="74">
      <c r="A49" s="12" t="n">
        <v>44</v>
      </c>
      <c r="B49" s="12" t="inlineStr">
        <is>
          <t>2.3 FCL时间轴字段 — Time</t>
        </is>
      </c>
      <c r="C49" s="16" t="inlineStr">
        <is>
          <t>fcl_removal_date</t>
        </is>
      </c>
      <c r="D49" s="17" t="inlineStr">
        <is>
          <t>newrez.portnewrezfc.fcremovaldate</t>
        </is>
      </c>
      <c r="E49" s="12" t="inlineStr">
        <is>
          <t>DATE</t>
        </is>
      </c>
      <c r="F49" s="12" t="inlineStr">
        <is>
          <t>P1</t>
        </is>
      </c>
      <c r="G49" s="12" t="inlineStr">
        <is>
          <t>FCL流程取消或关闭的日期；COALESCE备用选项</t>
        </is>
      </c>
      <c r="H49" s="12" t="inlineStr">
        <is>
          <t>YYYY-MM-DD</t>
        </is>
      </c>
      <c r="I49" s="48" t="inlineStr">
        <is>
          <t>YYYY-MM-DD</t>
        </is>
      </c>
      <c r="J49" s="48" t="inlineStr">
        <is>
          <t>2024-06-01</t>
        </is>
      </c>
      <c r="K49" s="12" t="inlineStr">
        <is>
          <t>Timeline &gt; timeline_foreclosure_completed_date（COALESCE备用选项）</t>
        </is>
      </c>
      <c r="L49" s="131" t="inlineStr">
        <is>
          <t>COALESCE(dtdeedrecorded, fcremovaldate) → timeline_foreclosure_completed_date（与 deed_recorded_date 同列，作回退源）</t>
        </is>
      </c>
      <c r="M49" s="7" t="inlineStr">
        <is>
          <t>✅ ~2.0% (仅完成贷款)</t>
        </is>
      </c>
      <c r="N49" s="126" t="inlineStr">
        <is>
          <t>-- 验证 fcl_removal_date 取值样例（最新快照取10笔，快速查看字段的样子）
-- 源表: newrez.portnewrezfc | 运行于: mysql_dev
SELECT loanid, dataasof, fcremovaldate
FROM   newrez.portnewrezfc
WHERE  dataasof = '2026-06-01'
  AND  fcremovaldate IS NOT NULL
LIMIT  10;</t>
        </is>
      </c>
      <c r="O49" s="68" t="inlineStr">
        <is>
          <t>[data_date 2026-06-01] 2025-02-28 | 2025-11-07 | 2026-05-11 | 2026-05-07 | 2026-05-05 | 2026-03-10 | 2025-11-11 | 2026-03-27 | 2025-08-29 | 2026-04-08（10笔）</t>
        </is>
      </c>
      <c r="S49" s="124" t="inlineStr">
        <is>
          <t>-- 验证 BPS timeline_foreclosure_completed_date 取值（date）— COALESCE(dtdeedrecorded,fcremovaldate) 的回退源；与 deed_recorded_date 同列
-- 表: bpms.sync_loan_foreclosure | 运行于: mysql_prod（只读）
-- as-of: 主表无 dataasof/fctrdt（upsert，update_time 实测全 NULL）；ETL 载入≈2026-06-03（取自 sync_fcl_stage_info.update_time）
SELECT '2026-06-01' AS data_date, COUNT(*) AS total, COUNT(`timeline_foreclosure_completed_date`) AS non_null,
       MIN(`timeline_foreclosure_completed_date`) AS min_dt, MAX(`timeline_foreclosure_completed_date`) AS max_dt
FROM   bpms.sync_loan_foreclosure;</t>
        </is>
      </c>
      <c r="T49" s="124" t="inlineStr">
        <is>
          <t>[BPS prod·数据日 2026-06-01(主表无嵌入,同 ETL 周期 Newrez 源日)·ETL载入 2026-06-03] 非空 0/89（prod 全空）</t>
        </is>
      </c>
    </row>
    <row r="50" ht="18" customHeight="1" s="74">
      <c r="A50" s="13" t="n">
        <v>45</v>
      </c>
      <c r="B50" s="13" t="inlineStr">
        <is>
          <t>2.3 FCL时间轴字段 — Time</t>
        </is>
      </c>
      <c r="C50" s="19" t="inlineStr">
        <is>
          <t>third_party_proceeds_date</t>
        </is>
      </c>
      <c r="D50" s="20" t="inlineStr">
        <is>
          <t>newrez.portnewrezfc.fcl3rdpartyproceedsreceiveddate</t>
        </is>
      </c>
      <c r="E50" s="13" t="inlineStr">
        <is>
          <t>DATE</t>
        </is>
      </c>
      <c r="F50" s="13" t="inlineStr">
        <is>
          <t>P2</t>
        </is>
      </c>
      <c r="G50" s="13" t="inlineStr">
        <is>
          <t>从第三方买家收到拍卖款项的日期</t>
        </is>
      </c>
      <c r="H50" s="13" t="inlineStr">
        <is>
          <t>YYYY-MM-DD</t>
        </is>
      </c>
      <c r="I50" s="49" t="inlineStr">
        <is>
          <t>YYYY-MM-DD</t>
        </is>
      </c>
      <c r="J50" s="49" t="inlineStr">
        <is>
          <t>2026-03-04</t>
        </is>
      </c>
      <c r="K50" s="13" t="inlineStr">
        <is>
          <t>Timeline &gt; timeline_third_party_proceeds_received_date</t>
        </is>
      </c>
      <c r="L50" s="132" t="inlineStr">
        <is>
          <t>直接取值（fcl3rdpartyproceedsreceiveddate → timeline_third_party_proceeds_received_date）</t>
        </is>
      </c>
      <c r="M50" s="7" t="inlineStr">
        <is>
          <t>✅ ~0% (极少数完成贷款)</t>
        </is>
      </c>
      <c r="N50" s="126" t="inlineStr">
        <is>
          <t>-- 验证 third_party_proceeds_date 取值样例（最新快照取10笔，快速查看字段的样子）
-- 源表: newrez.portnewrezfc | 运行于: mysql_dev
SELECT loanid, dataasof, fcl3rdpartyproceedsreceiveddate
FROM   newrez.portnewrezfc
WHERE  dataasof = '2026-06-01'
  AND  fcl3rdpartyproceedsreceiveddate IS NOT NULL
LIMIT  10;</t>
        </is>
      </c>
      <c r="O50" s="68" t="inlineStr">
        <is>
          <t>[data_date 2026-06-01] 2026-05-27 | 2026-04-02 | 2026-03-05（3笔）</t>
        </is>
      </c>
      <c r="S50" s="124" t="inlineStr">
        <is>
          <t>-- 验证 BPS timeline_third_party_proceeds_received_date 取值（date）
-- 表: bpms.sync_loan_foreclosure | 运行于: mysql_prod（只读）
-- as-of: 主表无 dataasof/fctrdt（upsert，update_time 实测全 NULL）；ETL 载入≈2026-06-03（取自 sync_fcl_stage_info.update_time）
SELECT '2026-06-01' AS data_date, COUNT(*) AS total, COUNT(`timeline_third_party_proceeds_received_date`) AS non_null,
       MIN(`timeline_third_party_proceeds_received_date`) AS min_dt, MAX(`timeline_third_party_proceeds_received_date`) AS max_dt
FROM   bpms.sync_loan_foreclosure;</t>
        </is>
      </c>
      <c r="T50" s="124" t="inlineStr">
        <is>
          <t>[BPS prod·数据日 2026-06-01(主表无嵌入,同 ETL 周期 Newrez 源日)·ETL载入 2026-06-03] 非空 3/89 · 区间 2026-03-05~2026-05-27</t>
        </is>
      </c>
    </row>
    <row r="51" ht="40" customHeight="1" s="74">
      <c r="A51" s="119" t="inlineStr">
        <is>
          <t>Section 2.4 — Hold槽位字段 — Hold历史记录面板（来源：newrez.portnewrezfc，3个槽位×5个字段）</t>
        </is>
      </c>
      <c r="B51" s="70" t="n"/>
      <c r="C51" s="70" t="n"/>
      <c r="D51" s="70" t="n"/>
      <c r="E51" s="70" t="n"/>
      <c r="F51" s="70" t="n"/>
      <c r="G51" s="70" t="n"/>
      <c r="H51" s="70" t="n"/>
      <c r="I51" s="70" t="n"/>
      <c r="J51" s="71" t="n"/>
      <c r="K51" s="2" t="n"/>
      <c r="M51" s="3" t="n"/>
    </row>
    <row r="52" ht="40" customHeight="1" s="74">
      <c r="A52" s="12" t="n">
        <v>46</v>
      </c>
      <c r="B52" s="12" t="inlineStr">
        <is>
          <t>2.4 Hold槽位字段 — Hold</t>
        </is>
      </c>
      <c r="C52" s="16" t="inlineStr">
        <is>
          <t>hold_1_description</t>
        </is>
      </c>
      <c r="D52" s="17" t="inlineStr">
        <is>
          <t>newrez.portnewrezfc.fchold1description</t>
        </is>
      </c>
      <c r="E52" s="12" t="inlineStr">
        <is>
          <t>VARCHAR</t>
        </is>
      </c>
      <c r="F52" s="12" t="inlineStr">
        <is>
          <t>P1</t>
        </is>
      </c>
      <c r="G52" s="12" t="inlineStr">
        <is>
          <t>Hold槽1原因文本；自由文本；BPS每次变更追加新行累积完整历史</t>
        </is>
      </c>
      <c r="H52" s="12" t="inlineStr">
        <is>
          <t>自由文本</t>
        </is>
      </c>
      <c r="I52" s="48" t="inlineStr">
        <is>
          <t>BK | LM | Court Delay | Service Delay 等（Newrez扩展枚举可接受）</t>
        </is>
      </c>
      <c r="J52" s="48" t="inlineStr">
        <is>
          <t>Loss Mitigation Workout</t>
        </is>
      </c>
      <c r="K52" s="12" t="inlineStr">
        <is>
          <t>Hold面板 &gt; description列（槽1）</t>
        </is>
      </c>
      <c r="L52" s="131" t="inlineStr">
        <is>
          <t>3 槽位 UNPIVOT 合并 → description（每槽位追加一行，累积全历史）</t>
        </is>
      </c>
      <c r="M52" s="7" t="inlineStr">
        <is>
          <t>✅ 89.6%</t>
        </is>
      </c>
      <c r="N52" s="126" t="inlineStr">
        <is>
          <t>-- 验证 hold_1_description 取值范围
-- 源表: newrez.portnewrezfc | 运行于: mysql_dev
-- 快照表：已固定 dataasof='2026-06-01' 过滤（与 BPS 数据日对齐，复跑结果不变；计数=该日真实贷款分布，非全历史快照行数）
SELECT dataasof AS data_date, fchold1description AS val, COUNT(*) AS cnt
FROM   newrez.portnewrezfc
WHERE  dataasof = '2026-06-01'
  AND  fchold1description IS NOT NULL AND fchold1description != ''
GROUP  BY dataasof, fchold1description ORDER BY cnt DESC LIMIT 30;</t>
        </is>
      </c>
      <c r="O52" s="68" t="inlineStr">
        <is>
          <t>[data_date 2026-06-01] Loss Mitigation Workout:21 | Awaiting Funds to Post:16 | Delinquency Review:12 | Bankruptcy Filed:6 | Hearing Set:4 | Court Delay:4 | Client Document Execution:4 | Service Delay:4 | Note Possession Confirmation:3 | Title Resolution:3 | Original Note:2 | Allonge of Note:1 | Service By Publication:1 | Guaranty Agreement:1 | Demand Letter Review:1 | Awaiting Escrow Analysis:1 | Moratorium:1 | Mediation Hearing:1 | FC Payment Research/Dispute:1 | ACT(PA) Letter/Demand Letter/NOI Expiration:1 | Original Assignment:1</t>
        </is>
      </c>
      <c r="S52" s="124" t="inlineStr">
        <is>
          <t>-- 验证 BPS description 取值（dist）— 3 槽位 UNPIVOT 合并→description
-- 表: bpms.sync_loan_foreclosure_hold | 运行于: mysql_prod（只读）
-- as-of: 业务快照 fctrdt≤2026-06-01（与 Newrez 源同日）；ETL 载入≈2026-06-03
SELECT '2026-06-01' AS data_date, `description` AS val, COUNT(*) AS cnt
FROM   bpms.sync_loan_foreclosure_hold
GROUP  BY `description` ORDER BY cnt DESC;</t>
        </is>
      </c>
      <c r="T52" s="124" t="inlineStr">
        <is>
          <t>[BPS prod·数据日 fctrdt≤2026-06-01·ETL载入 2026-06-03] Loss Mitigation Workout:63 | Service Delay:48 | ∅NULL:44 | Client Document Execution:29 | Court Delay:23 | Awaiting Funds to Post:20 | ACT(PA) Letter/Demand Letter/NOI Expiration:18 | Hearing Set:17 | Mediation Hearing:13 | Delinquency Review:11 | Original Note:10 | Title Resolution:9 | Note Possession Confirmation:8 | Bankruptcy Filed:8 | Copy of Power of Attorney:7 | Copy of Payment History:5 | Original Assignment:5 | Demand Letter Review:4 | Service By Publication:4 | Copy of Periodic Statement:4 | Pending Prior Servicer Doc(s):2 | Awaiting Escrow Analysis:2 | Soldiers and Sailors Relief Act:2 | Allonge of Note:2 | FC Payment Research/Dispute:2 | +15 个取值各1笔:15</t>
        </is>
      </c>
    </row>
    <row r="53" ht="40" customHeight="1" s="74">
      <c r="A53" s="12" t="n">
        <v>47</v>
      </c>
      <c r="B53" s="12" t="inlineStr">
        <is>
          <t>2.4 Hold槽位字段 — Hold</t>
        </is>
      </c>
      <c r="C53" s="16" t="inlineStr">
        <is>
          <t>hold_1_start_date</t>
        </is>
      </c>
      <c r="D53" s="17" t="inlineStr">
        <is>
          <t>newrez.portnewrezfc.fchold1startdate</t>
        </is>
      </c>
      <c r="E53" s="12" t="inlineStr">
        <is>
          <t>DATE</t>
        </is>
      </c>
      <c r="F53" s="12" t="inlineStr">
        <is>
          <t>P1</t>
        </is>
      </c>
      <c r="G53" s="12" t="inlineStr">
        <is>
          <t>Hold 1开始日期；同时是BPS提取过滤条件（fchold1startdate IS NOT NULL为入库条件）</t>
        </is>
      </c>
      <c r="H53" s="12" t="inlineStr">
        <is>
          <t>YYYY-MM-DD</t>
        </is>
      </c>
      <c r="I53" s="48" t="inlineStr">
        <is>
          <t>YYYY-MM-DD</t>
        </is>
      </c>
      <c r="J53" s="48" t="inlineStr">
        <is>
          <t>2024-01-05</t>
        </is>
      </c>
      <c r="K53" s="12" t="inlineStr">
        <is>
          <t>Hold面板 &gt; description_start_date（槽1）</t>
        </is>
      </c>
      <c r="L53" s="131" t="inlineStr">
        <is>
          <t>直接取值（fchold1startdate → description_start_date）</t>
        </is>
      </c>
      <c r="M53" s="7" t="inlineStr">
        <is>
          <t>✅ (与description同步)</t>
        </is>
      </c>
      <c r="N53" s="126" t="inlineStr">
        <is>
          <t>-- 验证 hold_1_start_date 取值样例（最新快照取10笔，快速查看字段的样子）
-- 源表: newrez.portnewrezfc | 运行于: mysql_dev
SELECT loanid, dataasof, fchold1startdate
FROM   newrez.portnewrezfc
WHERE  dataasof = '2026-06-01'
  AND  fchold1startdate IS NOT NULL
LIMIT  10;</t>
        </is>
      </c>
      <c r="O53" s="68" t="inlineStr">
        <is>
          <t>[data_date 2026-06-01] 2025-11-06 | 2026-05-28 | 2026-05-09 | 2026-05-06 | 2026-05-02 | 2026-03-04 | 2026-03-13 | 2026-04-29 | 2025-11-01 | 2026-05-28（10笔）</t>
        </is>
      </c>
      <c r="S53" s="124" t="inlineStr">
        <is>
          <t>-- 验证 BPS description_start_date 取值（date）
-- 表: bpms.sync_loan_foreclosure_hold | 运行于: mysql_prod（只读）
-- as-of: 业务快照 fctrdt≤2026-06-01（与 Newrez 源同日）；ETL 载入≈2026-06-03
SELECT '2026-06-01' AS data_date, COUNT(*) AS total, COUNT(`description_start_date`) AS non_null,
       MIN(`description_start_date`) AS min_dt, MAX(`description_start_date`) AS max_dt
FROM   bpms.sync_loan_foreclosure_hold;</t>
        </is>
      </c>
      <c r="T53" s="124" t="inlineStr">
        <is>
          <t>[BPS prod·数据日 fctrdt≤2026-06-01·ETL载入 2026-06-03] 非空 375/375 · 区间 2019-10-24~2026-06-01</t>
        </is>
      </c>
    </row>
    <row r="54" ht="40" customHeight="1" s="74">
      <c r="A54" s="12" t="n">
        <v>48</v>
      </c>
      <c r="B54" s="12" t="inlineStr">
        <is>
          <t>2.4 Hold槽位字段 — Hold</t>
        </is>
      </c>
      <c r="C54" s="16" t="inlineStr">
        <is>
          <t>hold_1_end_date</t>
        </is>
      </c>
      <c r="D54" s="17" t="inlineStr">
        <is>
          <t>newrez.portnewrezfc.fchold1enddate</t>
        </is>
      </c>
      <c r="E54" s="12" t="inlineStr">
        <is>
          <t>DATE</t>
        </is>
      </c>
      <c r="F54" s="12" t="inlineStr">
        <is>
          <t>P1</t>
        </is>
      </c>
      <c r="G54" s="12" t="inlineStr">
        <is>
          <t>Hold 1结束日期；NULL表示此Hold仍活跃</t>
        </is>
      </c>
      <c r="H54" s="12" t="inlineStr">
        <is>
          <t>YYYY-MM-DD；NULL=仍活跃</t>
        </is>
      </c>
      <c r="I54" s="48" t="inlineStr">
        <is>
          <t>YYYY-MM-DD（空=Hold仍持续）</t>
        </is>
      </c>
      <c r="J54" s="48" t="inlineStr">
        <is>
          <t>2024-03-15</t>
        </is>
      </c>
      <c r="K54" s="12" t="inlineStr">
        <is>
          <t>Hold面板 &gt; description_end_date（槽1）</t>
        </is>
      </c>
      <c r="L54" s="131" t="inlineStr">
        <is>
          <t>直接取值（fchold1enddate → description_end_date；NULL=仍生效）</t>
        </is>
      </c>
      <c r="M54" s="7" t="inlineStr">
        <is>
          <t>✅</t>
        </is>
      </c>
      <c r="N54" s="126" t="inlineStr">
        <is>
          <t>-- 验证 hold_1_end_date 取值样例（最新快照取10笔，快速查看字段的样子）
-- 源表: newrez.portnewrezfc | 运行于: mysql_dev
SELECT loanid, dataasof, fchold1enddate
FROM   newrez.portnewrezfc
WHERE  dataasof = '2026-06-01'
  AND  fchold1enddate IS NOT NULL
LIMIT  10;</t>
        </is>
      </c>
      <c r="O54" s="68" t="inlineStr">
        <is>
          <t>[data_date 2026-06-01] 2025-11-07 | 2026-05-11 | 2026-05-07 | 2026-05-05 | 2026-03-10 | 2025-11-11 | 2026-05-21 | 2026-03-27 | 2025-08-22 | 2025-08-14（10笔）</t>
        </is>
      </c>
      <c r="S54" s="124" t="inlineStr">
        <is>
          <t>-- 验证 BPS description_end_date 取值（date）— NULL=仍生效
-- 表: bpms.sync_loan_foreclosure_hold | 运行于: mysql_prod（只读）
-- as-of: 业务快照 fctrdt≤2026-06-01（与 Newrez 源同日）；ETL 载入≈2026-06-03
SELECT '2026-06-01' AS data_date, COUNT(*) AS total, COUNT(`description_end_date`) AS non_null,
       MIN(`description_end_date`) AS min_dt, MAX(`description_end_date`) AS max_dt
FROM   bpms.sync_loan_foreclosure_hold;</t>
        </is>
      </c>
      <c r="T54" s="124" t="inlineStr">
        <is>
          <t>[BPS prod·数据日 fctrdt≤2026-06-01·ETL载入 2026-06-03] 非空 357/375 · 区间 2019-11-15~2026-06-01</t>
        </is>
      </c>
    </row>
    <row r="55" ht="40" customHeight="1" s="74">
      <c r="A55" s="13" t="n">
        <v>49</v>
      </c>
      <c r="B55" s="13" t="inlineStr">
        <is>
          <t>2.4 Hold槽位字段 — Hold</t>
        </is>
      </c>
      <c r="C55" s="19" t="inlineStr">
        <is>
          <t>hold_1_projected_end_date</t>
        </is>
      </c>
      <c r="D55" s="20" t="inlineStr">
        <is>
          <t>newrez.portnewrezfc.fchold1projectedenddate</t>
        </is>
      </c>
      <c r="E55" s="13" t="inlineStr">
        <is>
          <t>DATE</t>
        </is>
      </c>
      <c r="F55" s="13" t="inlineStr">
        <is>
          <t>P2</t>
        </is>
      </c>
      <c r="G55" s="13" t="inlineStr">
        <is>
          <t>Hold 1预计结束日期；variance_estimated_hold_days = MAX(槽1/2/3预计结束) − 今日NY</t>
        </is>
      </c>
      <c r="H55" s="13" t="inlineStr">
        <is>
          <t>YYYY-MM-DD</t>
        </is>
      </c>
      <c r="I55" s="49" t="inlineStr">
        <is>
          <t>YYYY-MM-DD</t>
        </is>
      </c>
      <c r="J55" s="49" t="inlineStr">
        <is>
          <t>2024-03-20</t>
        </is>
      </c>
      <c r="K55" s="13" t="inlineStr">
        <is>
          <t>bpms_dev.sync_loan_foreclosure.variance_estimated_hold_days计算（MAX三槽）</t>
        </is>
      </c>
      <c r="L55" s="132" t="inlineStr">
        <is>
          <t>N/A — BPS hold 表无 projected end 列</t>
        </is>
      </c>
      <c r="M55" s="7" t="inlineStr">
        <is>
          <t>✅</t>
        </is>
      </c>
      <c r="N55" s="126" t="inlineStr">
        <is>
          <t>-- 验证 hold_1_projected_end_date 取值样例（最新快照取10笔，快速查看字段的样子）
-- 源表: newrez.portnewrezfc | 运行于: mysql_dev
SELECT loanid, dataasof, fchold1projectedenddate
FROM   newrez.portnewrezfc
WHERE  dataasof = '2026-06-01'
  AND  fchold1projectedenddate IS NOT NULL
LIMIT  10;</t>
        </is>
      </c>
      <c r="O55" s="68" t="inlineStr">
        <is>
          <t>[data_date 2026-06-01] 2026-01-05 | 2026-07-27 | 2026-07-08 | 2026-07-05 | 2026-07-01 | 2026-05-03 | 2026-06-05 | 2026-06-28 | 2025-11-08 | 2026-06-18（10笔）</t>
        </is>
      </c>
      <c r="S55" s="124" t="inlineStr">
        <is>
          <t>-- N/A — BPS hold 表无 projected end 列</t>
        </is>
      </c>
      <c r="T55" s="124" t="inlineStr">
        <is>
          <t>N/A — 不映射到 BPS FCL 同步表（见左侧说明）</t>
        </is>
      </c>
    </row>
    <row r="56" ht="40" customHeight="1" s="74">
      <c r="A56" s="12" t="n">
        <v>50</v>
      </c>
      <c r="B56" s="12" t="inlineStr">
        <is>
          <t>2.4 Hold槽位字段 — Hold</t>
        </is>
      </c>
      <c r="C56" s="16" t="inlineStr">
        <is>
          <t>hold_2_description</t>
        </is>
      </c>
      <c r="D56" s="17" t="inlineStr">
        <is>
          <t>newrez.portnewrezfc.fchold2description</t>
        </is>
      </c>
      <c r="E56" s="12" t="inlineStr">
        <is>
          <t>VARCHAR</t>
        </is>
      </c>
      <c r="F56" s="12" t="inlineStr">
        <is>
          <t>P1</t>
        </is>
      </c>
      <c r="G56" s="12" t="inlineStr">
        <is>
          <t>Hold槽2原因文本（同期存在多个Hold时使用）</t>
        </is>
      </c>
      <c r="H56" s="12" t="inlineStr">
        <is>
          <t>自由文本</t>
        </is>
      </c>
      <c r="I56" s="48" t="inlineStr">
        <is>
          <t>BK | LM | Court Delay | Service Delay 等（Newrez扩展枚举可接受）</t>
        </is>
      </c>
      <c r="J56" s="48" t="inlineStr">
        <is>
          <t>Loss Mitigation Workout</t>
        </is>
      </c>
      <c r="K56" s="12" t="inlineStr">
        <is>
          <t>Hold面板 &gt; description列（槽2）</t>
        </is>
      </c>
      <c r="L56" s="131" t="inlineStr">
        <is>
          <t>3 槽位 UNPIVOT 合并 → description（同 hold_1）</t>
        </is>
      </c>
      <c r="M56" s="7" t="inlineStr">
        <is>
          <t>✅ 69.8%</t>
        </is>
      </c>
      <c r="N56" s="126" t="inlineStr">
        <is>
          <t>-- 验证 hold_2_description 取值范围
-- 源表: newrez.portnewrezfc | 运行于: mysql_dev
-- 快照表：已固定 dataasof='2026-06-01' 过滤（与 BPS 数据日对齐，复跑结果不变；计数=该日真实贷款分布，非全历史快照行数）
SELECT dataasof AS data_date, fchold2description AS val, COUNT(*) AS cnt
FROM   newrez.portnewrezfc
WHERE  dataasof = '2026-06-01'
  AND  fchold2description IS NOT NULL AND fchold2description != ''
GROUP  BY dataasof, fchold2description ORDER BY cnt DESC LIMIT 30;</t>
        </is>
      </c>
      <c r="O56" s="68" t="inlineStr">
        <is>
          <t>[data_date 2026-06-01] Loss Mitigation Workout:16 | Client Document Execution:9 | Court Delay:8 | ACT(PA) Letter/Demand Letter/NOI Expiration:7 | Awaiting Funds to Post:6 | Delinquency Review:5 | Service Delay:4 | Hearing Set:4 | Bankruptcy Filed:3 | Original Note:2 | Title Resolution:2 | Copy of Payment History:2 | Note Possession Confirmation:1 | Copy of Periodic Statement:1 | Mediation Hearing:1 | Allonge of Note:1 | FC Escrow/Corp Breakdown Needed:1 | HAF - Homeowner Assistance Fund:1</t>
        </is>
      </c>
      <c r="S56" s="124" t="inlineStr">
        <is>
          <t>-- 验证 BPS description 取值（dist）— 同 hold_1（合并入 description）
-- 表: bpms.sync_loan_foreclosure_hold | 运行于: mysql_prod（只读）
-- as-of: 业务快照 fctrdt≤2026-06-01（与 Newrez 源同日）；ETL 载入≈2026-06-03
SELECT '2026-06-01' AS data_date, `description` AS val, COUNT(*) AS cnt
FROM   bpms.sync_loan_foreclosure_hold
GROUP  BY `description` ORDER BY cnt DESC;</t>
        </is>
      </c>
      <c r="T56" s="124" t="inlineStr">
        <is>
          <t>[BPS prod·数据日 fctrdt≤2026-06-01·ETL载入 2026-06-03] Loss Mitigation Workout:63 | Service Delay:48 | ∅NULL:44 | Client Document Execution:29 | Court Delay:23 | Awaiting Funds to Post:20 | ACT(PA) Letter/Demand Letter/NOI Expiration:18 | Hearing Set:17 | Mediation Hearing:13 | Delinquency Review:11 | Original Note:10 | Title Resolution:9 | Note Possession Confirmation:8 | Bankruptcy Filed:8 | Copy of Power of Attorney:7 | Copy of Payment History:5 | Original Assignment:5 | Demand Letter Review:4 | Service By Publication:4 | Copy of Periodic Statement:4 | Pending Prior Servicer Doc(s):2 | Awaiting Escrow Analysis:2 | Soldiers and Sailors Relief Act:2 | Allonge of Note:2 | FC Payment Research/Dispute:2 | +15 个取值各1笔:15</t>
        </is>
      </c>
    </row>
    <row r="57" ht="40" customHeight="1" s="74">
      <c r="A57" s="12" t="n">
        <v>51</v>
      </c>
      <c r="B57" s="12" t="inlineStr">
        <is>
          <t>2.4 Hold槽位字段 — Hold</t>
        </is>
      </c>
      <c r="C57" s="16" t="inlineStr">
        <is>
          <t>hold_2_start_date</t>
        </is>
      </c>
      <c r="D57" s="17" t="inlineStr">
        <is>
          <t>newrez.portnewrezfc.fchold2startdate</t>
        </is>
      </c>
      <c r="E57" s="12" t="inlineStr">
        <is>
          <t>DATE</t>
        </is>
      </c>
      <c r="F57" s="12" t="inlineStr">
        <is>
          <t>P1</t>
        </is>
      </c>
      <c r="G57" s="12" t="inlineStr">
        <is>
          <t>Hold 2开始日期</t>
        </is>
      </c>
      <c r="H57" s="12" t="inlineStr">
        <is>
          <t>YYYY-MM-DD</t>
        </is>
      </c>
      <c r="I57" s="48" t="inlineStr">
        <is>
          <t>YYYY-MM-DD</t>
        </is>
      </c>
      <c r="J57" s="48" t="inlineStr">
        <is>
          <t>2024-01-05</t>
        </is>
      </c>
      <c r="K57" s="12" t="inlineStr">
        <is>
          <t>Hold面板 &gt; description_start_date（槽2）</t>
        </is>
      </c>
      <c r="L57" s="131" t="inlineStr">
        <is>
          <t>直接取值（fchold2startdate → description_start_date）</t>
        </is>
      </c>
      <c r="M57" s="7" t="inlineStr">
        <is>
          <t>✅</t>
        </is>
      </c>
      <c r="N57" s="126" t="inlineStr">
        <is>
          <t>-- 验证 hold_2_start_date 取值样例（最新快照取10笔，快速查看字段的样子）
-- 源表: newrez.portnewrezfc | 运行于: mysql_dev
SELECT loanid, dataasof, fchold2startdate
FROM   newrez.portnewrezfc
WHERE  dataasof = '2026-06-01'
  AND  fchold2startdate IS NOT NULL
LIMIT  10;</t>
        </is>
      </c>
      <c r="O57" s="68" t="inlineStr">
        <is>
          <t>[data_date 2026-06-01] 2025-11-06 | 2026-05-28 | 2026-05-09 | 2026-05-06 | 2026-05-02 | 2026-03-04 | 2026-03-13 | 2026-04-28 | 2025-10-24 | 2026-05-04（10笔）</t>
        </is>
      </c>
      <c r="S57" s="124" t="inlineStr">
        <is>
          <t>-- 验证 BPS description_start_date 取值（date）— 同 hold_1
-- 表: bpms.sync_loan_foreclosure_hold | 运行于: mysql_prod（只读）
-- as-of: 业务快照 fctrdt≤2026-06-01（与 Newrez 源同日）；ETL 载入≈2026-06-03
SELECT '2026-06-01' AS data_date, COUNT(*) AS total, COUNT(`description_start_date`) AS non_null,
       MIN(`description_start_date`) AS min_dt, MAX(`description_start_date`) AS max_dt
FROM   bpms.sync_loan_foreclosure_hold;</t>
        </is>
      </c>
      <c r="T57" s="124" t="inlineStr">
        <is>
          <t>[BPS prod·数据日 fctrdt≤2026-06-01·ETL载入 2026-06-03] 非空 375/375 · 区间 2019-10-24~2026-06-01</t>
        </is>
      </c>
    </row>
    <row r="58" ht="40" customHeight="1" s="74">
      <c r="A58" s="12" t="n">
        <v>52</v>
      </c>
      <c r="B58" s="12" t="inlineStr">
        <is>
          <t>2.4 Hold槽位字段 — Hold</t>
        </is>
      </c>
      <c r="C58" s="16" t="inlineStr">
        <is>
          <t>hold_2_end_date</t>
        </is>
      </c>
      <c r="D58" s="17" t="inlineStr">
        <is>
          <t>newrez.portnewrezfc.fchold2enddate</t>
        </is>
      </c>
      <c r="E58" s="12" t="inlineStr">
        <is>
          <t>DATE</t>
        </is>
      </c>
      <c r="F58" s="12" t="inlineStr">
        <is>
          <t>P1</t>
        </is>
      </c>
      <c r="G58" s="12" t="inlineStr">
        <is>
          <t>Hold 2结束日期；NULL=仍活跃</t>
        </is>
      </c>
      <c r="H58" s="12" t="inlineStr">
        <is>
          <t>YYYY-MM-DD；NULL=仍活跃</t>
        </is>
      </c>
      <c r="I58" s="48" t="inlineStr">
        <is>
          <t>YYYY-MM-DD（空=Hold仍持续）</t>
        </is>
      </c>
      <c r="J58" s="48" t="inlineStr">
        <is>
          <t>2024-03-15</t>
        </is>
      </c>
      <c r="K58" s="12" t="inlineStr">
        <is>
          <t>Hold面板 &gt; description_end_date（槽2）</t>
        </is>
      </c>
      <c r="L58" s="131" t="inlineStr">
        <is>
          <t>直接取值（fchold2enddate → description_end_date）</t>
        </is>
      </c>
      <c r="M58" s="7" t="inlineStr">
        <is>
          <t>✅</t>
        </is>
      </c>
      <c r="N58" s="126" t="inlineStr">
        <is>
          <t>-- 验证 hold_2_end_date 取值样例（最新快照取10笔，快速查看字段的样子）
-- 源表: newrez.portnewrezfc | 运行于: mysql_dev
SELECT loanid, dataasof, fchold2enddate
FROM   newrez.portnewrezfc
WHERE  dataasof = '2026-06-01'
  AND  fchold2enddate IS NOT NULL
LIMIT  10;</t>
        </is>
      </c>
      <c r="O58" s="68" t="inlineStr">
        <is>
          <t>[data_date 2026-06-01] 2025-11-07 | 2026-05-11 | 2026-05-07 | 2026-05-05 | 2026-03-10 | 2026-05-08 | 2026-04-29 | 2025-10-30 | 2026-05-05 | 2026-05-21（10笔）</t>
        </is>
      </c>
      <c r="S58" s="124" t="inlineStr">
        <is>
          <t>-- 验证 BPS description_end_date 取值（date）— 同 hold_1
-- 表: bpms.sync_loan_foreclosure_hold | 运行于: mysql_prod（只读）
-- as-of: 业务快照 fctrdt≤2026-06-01（与 Newrez 源同日）；ETL 载入≈2026-06-03
SELECT '2026-06-01' AS data_date, COUNT(*) AS total, COUNT(`description_end_date`) AS non_null,
       MIN(`description_end_date`) AS min_dt, MAX(`description_end_date`) AS max_dt
FROM   bpms.sync_loan_foreclosure_hold;</t>
        </is>
      </c>
      <c r="T58" s="124" t="inlineStr">
        <is>
          <t>[BPS prod·数据日 fctrdt≤2026-06-01·ETL载入 2026-06-03] 非空 357/375 · 区间 2019-11-15~2026-06-01</t>
        </is>
      </c>
    </row>
    <row r="59" ht="40" customHeight="1" s="74">
      <c r="A59" s="13" t="n">
        <v>53</v>
      </c>
      <c r="B59" s="13" t="inlineStr">
        <is>
          <t>2.4 Hold槽位字段 — Hold</t>
        </is>
      </c>
      <c r="C59" s="19" t="inlineStr">
        <is>
          <t>hold_2_projected_end_date</t>
        </is>
      </c>
      <c r="D59" s="20" t="inlineStr">
        <is>
          <t>newrez.portnewrezfc.fchold2projectedenddate</t>
        </is>
      </c>
      <c r="E59" s="13" t="inlineStr">
        <is>
          <t>DATE</t>
        </is>
      </c>
      <c r="F59" s="13" t="inlineStr">
        <is>
          <t>P2</t>
        </is>
      </c>
      <c r="G59" s="13" t="inlineStr">
        <is>
          <t>Hold 2预计结束日期；参与MAX计算</t>
        </is>
      </c>
      <c r="H59" s="13" t="inlineStr">
        <is>
          <t>YYYY-MM-DD</t>
        </is>
      </c>
      <c r="I59" s="49" t="inlineStr">
        <is>
          <t>YYYY-MM-DD</t>
        </is>
      </c>
      <c r="J59" s="49" t="inlineStr">
        <is>
          <t>2024-03-20</t>
        </is>
      </c>
      <c r="K59" s="13" t="inlineStr">
        <is>
          <t>variance_estimated_hold_days计算（与槽1/3并列）</t>
        </is>
      </c>
      <c r="L59" s="132" t="inlineStr">
        <is>
          <t>N/A — BPS hold 表无 projected end 列</t>
        </is>
      </c>
      <c r="M59" s="7" t="inlineStr">
        <is>
          <t>✅</t>
        </is>
      </c>
      <c r="N59" s="126" t="inlineStr">
        <is>
          <t>-- 验证 hold_2_projected_end_date 取值样例（最新快照取10笔，快速查看字段的样子）
-- 源表: newrez.portnewrezfc | 运行于: mysql_dev
SELECT loanid, dataasof, fchold2projectedenddate
FROM   newrez.portnewrezfc
WHERE  dataasof = '2026-06-01'
  AND  fchold2projectedenddate IS NOT NULL
LIMIT  10;</t>
        </is>
      </c>
      <c r="O59" s="68" t="inlineStr">
        <is>
          <t>[data_date 2026-06-01] 2026-01-05 | 2026-07-27 | 2026-07-08 | 2026-07-05 | 2026-07-01 | 2026-05-03 | 2026-05-08 | 2026-05-28 | 2025-10-30 | 2026-06-03（10笔）</t>
        </is>
      </c>
      <c r="S59" s="124" t="inlineStr">
        <is>
          <t>-- N/A — BPS hold 表无 projected end 列</t>
        </is>
      </c>
      <c r="T59" s="124" t="inlineStr">
        <is>
          <t>N/A — 不映射到 BPS FCL 同步表（见左侧说明）</t>
        </is>
      </c>
    </row>
    <row r="60" ht="40" customHeight="1" s="74">
      <c r="A60" s="12" t="n">
        <v>54</v>
      </c>
      <c r="B60" s="12" t="inlineStr">
        <is>
          <t>2.4 Hold槽位字段 — Hold</t>
        </is>
      </c>
      <c r="C60" s="16" t="inlineStr">
        <is>
          <t>hold_3_description</t>
        </is>
      </c>
      <c r="D60" s="17" t="inlineStr">
        <is>
          <t>newrez.portnewrezfc.fchold3description</t>
        </is>
      </c>
      <c r="E60" s="12" t="inlineStr">
        <is>
          <t>VARCHAR</t>
        </is>
      </c>
      <c r="F60" s="12" t="inlineStr">
        <is>
          <t>P1</t>
        </is>
      </c>
      <c r="G60" s="12" t="inlineStr">
        <is>
          <t>Hold槽3原因文本（第三个并行Hold）</t>
        </is>
      </c>
      <c r="H60" s="12" t="inlineStr">
        <is>
          <t>自由文本</t>
        </is>
      </c>
      <c r="I60" s="48" t="inlineStr">
        <is>
          <t>BK | LM | Court Delay | Service Delay 等（Newrez扩展枚举可接受）</t>
        </is>
      </c>
      <c r="J60" s="48" t="inlineStr">
        <is>
          <t>Loss Mitigation Workout</t>
        </is>
      </c>
      <c r="K60" s="12" t="inlineStr">
        <is>
          <t>Hold面板 &gt; description列（槽3）</t>
        </is>
      </c>
      <c r="L60" s="131" t="inlineStr">
        <is>
          <t>3 槽位 UNPIVOT 合并 → description（同 hold_1）</t>
        </is>
      </c>
      <c r="M60" s="7" t="inlineStr">
        <is>
          <t>✅ 52.6%</t>
        </is>
      </c>
      <c r="N60" s="126" t="inlineStr">
        <is>
          <t>-- 验证 hold_3_description 取值范围
-- 源表: newrez.portnewrezfc | 运行于: mysql_dev
-- 快照表：已固定 dataasof='2026-06-01' 过滤（与 BPS 数据日对齐，复跑结果不变；计数=该日真实贷款分布，非全历史快照行数）
SELECT dataasof AS data_date, fchold3description AS val, COUNT(*) AS cnt
FROM   newrez.portnewrezfc
WHERE  dataasof = '2026-06-01'
  AND  fchold3description IS NOT NULL AND fchold3description != ''
GROUP  BY dataasof, fchold3description ORDER BY cnt DESC LIMIT 30;</t>
        </is>
      </c>
      <c r="O60" s="68" t="inlineStr">
        <is>
          <t>[data_date 2026-06-01] Client Document Execution:8 | Loss Mitigation Workout:6 | Court Delay:5 | Mediation Hearing:3 | Original Note:3 | Hearing Set:3 | Service Delay:3 | Allonge of Note:2 | Note Possession Confirmation:2 | Bankruptcy Filed:2 | Title Resolution:2 | ACT(PA) Letter/Demand Letter/NOI Expiration:2 | Service By Publication:2 | Copy of Payment History:1 | Awaiting Escrow Analysis:1 | Delinquency Review:1 | Copy of Note:1 | FC Payment Research/Dispute:1 | MERS Assignment Needed:1 | Guaranty Agreement:1 | Awaiting Funds to Post:1 | FEMA Hold:1 | Copy of Power of Attorney:1 | COVID Affected:1 | Court Delay Mid Term (46 - 90 Days):1</t>
        </is>
      </c>
      <c r="S60" s="124" t="inlineStr">
        <is>
          <t>-- 验证 BPS description 取值（dist）— 同 hold_1（合并入 description）
-- 表: bpms.sync_loan_foreclosure_hold | 运行于: mysql_prod（只读）
-- as-of: 业务快照 fctrdt≤2026-06-01（与 Newrez 源同日）；ETL 载入≈2026-06-03
SELECT '2026-06-01' AS data_date, `description` AS val, COUNT(*) AS cnt
FROM   bpms.sync_loan_foreclosure_hold
GROUP  BY `description` ORDER BY cnt DESC;</t>
        </is>
      </c>
      <c r="T60" s="124" t="inlineStr">
        <is>
          <t>[BPS prod·数据日 fctrdt≤2026-06-01·ETL载入 2026-06-03] Loss Mitigation Workout:63 | Service Delay:48 | ∅NULL:44 | Client Document Execution:29 | Court Delay:23 | Awaiting Funds to Post:20 | ACT(PA) Letter/Demand Letter/NOI Expiration:18 | Hearing Set:17 | Mediation Hearing:13 | Delinquency Review:11 | Original Note:10 | Title Resolution:9 | Note Possession Confirmation:8 | Bankruptcy Filed:8 | Copy of Power of Attorney:7 | Copy of Payment History:5 | Original Assignment:5 | Demand Letter Review:4 | Service By Publication:4 | Copy of Periodic Statement:4 | Pending Prior Servicer Doc(s):2 | Awaiting Escrow Analysis:2 | Soldiers and Sailors Relief Act:2 | Allonge of Note:2 | FC Payment Research/Dispute:2 | +15 个取值各1笔:15</t>
        </is>
      </c>
    </row>
    <row r="61" ht="40" customHeight="1" s="74">
      <c r="A61" s="12" t="n">
        <v>55</v>
      </c>
      <c r="B61" s="12" t="inlineStr">
        <is>
          <t>2.4 Hold槽位字段 — Hold</t>
        </is>
      </c>
      <c r="C61" s="16" t="inlineStr">
        <is>
          <t>hold_3_start_date</t>
        </is>
      </c>
      <c r="D61" s="17" t="inlineStr">
        <is>
          <t>newrez.portnewrezfc.fchold3startdate</t>
        </is>
      </c>
      <c r="E61" s="12" t="inlineStr">
        <is>
          <t>DATE</t>
        </is>
      </c>
      <c r="F61" s="12" t="inlineStr">
        <is>
          <t>P1</t>
        </is>
      </c>
      <c r="G61" s="12" t="inlineStr">
        <is>
          <t>Hold 3开始日期</t>
        </is>
      </c>
      <c r="H61" s="12" t="inlineStr">
        <is>
          <t>YYYY-MM-DD</t>
        </is>
      </c>
      <c r="I61" s="48" t="inlineStr">
        <is>
          <t>YYYY-MM-DD</t>
        </is>
      </c>
      <c r="J61" s="48" t="inlineStr">
        <is>
          <t>2024-01-05</t>
        </is>
      </c>
      <c r="K61" s="12" t="inlineStr">
        <is>
          <t>Hold面板 &gt; description_start_date（槽3）</t>
        </is>
      </c>
      <c r="L61" s="131" t="inlineStr">
        <is>
          <t>直接取值（fchold3startdate → description_start_date）</t>
        </is>
      </c>
      <c r="M61" s="7" t="inlineStr">
        <is>
          <t>✅</t>
        </is>
      </c>
      <c r="N61" s="126" t="inlineStr">
        <is>
          <t>-- 验证 hold_3_start_date 取值样例（最新快照取10笔，快速查看字段的样子）
-- 源表: newrez.portnewrezfc | 运行于: mysql_dev
SELECT loanid, dataasof, fchold3startdate
FROM   newrez.portnewrezfc
WHERE  dataasof = '2026-06-01'
  AND  fchold3startdate IS NOT NULL
LIMIT  10;</t>
        </is>
      </c>
      <c r="O61" s="68" t="inlineStr">
        <is>
          <t>[data_date 2026-06-01] 2026-05-26 | 2026-04-24 | 2026-02-03 | 2026-04-27 | 2026-02-20 | 2026-01-21 | 2026-04-27 | 2025-10-06 | 2026-03-27 | 2026-02-18（10笔）</t>
        </is>
      </c>
      <c r="S61" s="124" t="inlineStr">
        <is>
          <t>-- 验证 BPS description_start_date 取值（date）— 同 hold_1
-- 表: bpms.sync_loan_foreclosure_hold | 运行于: mysql_prod（只读）
-- as-of: 业务快照 fctrdt≤2026-06-01（与 Newrez 源同日）；ETL 载入≈2026-06-03
SELECT '2026-06-01' AS data_date, COUNT(*) AS total, COUNT(`description_start_date`) AS non_null,
       MIN(`description_start_date`) AS min_dt, MAX(`description_start_date`) AS max_dt
FROM   bpms.sync_loan_foreclosure_hold;</t>
        </is>
      </c>
      <c r="T61" s="124" t="inlineStr">
        <is>
          <t>[BPS prod·数据日 fctrdt≤2026-06-01·ETL载入 2026-06-03] 非空 375/375 · 区间 2019-10-24~2026-06-01</t>
        </is>
      </c>
    </row>
    <row r="62" ht="40" customHeight="1" s="74">
      <c r="A62" s="12" t="n">
        <v>56</v>
      </c>
      <c r="B62" s="12" t="inlineStr">
        <is>
          <t>2.4 Hold槽位字段 — Hold</t>
        </is>
      </c>
      <c r="C62" s="16" t="inlineStr">
        <is>
          <t>hold_3_end_date</t>
        </is>
      </c>
      <c r="D62" s="17" t="inlineStr">
        <is>
          <t>newrez.portnewrezfc.fchold3enddate</t>
        </is>
      </c>
      <c r="E62" s="12" t="inlineStr">
        <is>
          <t>DATE</t>
        </is>
      </c>
      <c r="F62" s="12" t="inlineStr">
        <is>
          <t>P1</t>
        </is>
      </c>
      <c r="G62" s="12" t="inlineStr">
        <is>
          <t>Hold 3结束日期；NULL=仍活跃</t>
        </is>
      </c>
      <c r="H62" s="12" t="inlineStr">
        <is>
          <t>YYYY-MM-DD；NULL=仍活跃</t>
        </is>
      </c>
      <c r="I62" s="48" t="inlineStr">
        <is>
          <t>YYYY-MM-DD（空=Hold仍持续）</t>
        </is>
      </c>
      <c r="J62" s="48" t="inlineStr">
        <is>
          <t>2024-03-15</t>
        </is>
      </c>
      <c r="K62" s="12" t="inlineStr">
        <is>
          <t>Hold面板 &gt; description_end_date（槽3）</t>
        </is>
      </c>
      <c r="L62" s="131" t="inlineStr">
        <is>
          <t>直接取值（fchold3enddate → description_end_date）</t>
        </is>
      </c>
      <c r="M62" s="7" t="inlineStr">
        <is>
          <t>✅</t>
        </is>
      </c>
      <c r="N62" s="126" t="inlineStr">
        <is>
          <t>-- 验证 hold_3_end_date 取值样例（最新快照取10笔，快速查看字段的样子）
-- 源表: newrez.portnewrezfc | 运行于: mysql_dev
SELECT loanid, dataasof, fchold3enddate
FROM   newrez.portnewrezfc
WHERE  dataasof = '2026-06-01'
  AND  fchold3enddate IS NOT NULL
LIMIT  10;</t>
        </is>
      </c>
      <c r="O62" s="68" t="inlineStr">
        <is>
          <t>[data_date 2026-06-01] 2026-04-27 | 2026-04-22 | 2026-04-30 | 2026-02-24 | 2026-04-09 | 2026-04-27 | 2025-10-23 | 2026-04-14 | 2026-03-27 | 2025-12-26（10笔）</t>
        </is>
      </c>
      <c r="S62" s="124" t="inlineStr">
        <is>
          <t>-- 验证 BPS description_end_date 取值（date）— 同 hold_1
-- 表: bpms.sync_loan_foreclosure_hold | 运行于: mysql_prod（只读）
-- as-of: 业务快照 fctrdt≤2026-06-01（与 Newrez 源同日）；ETL 载入≈2026-06-03
SELECT '2026-06-01' AS data_date, COUNT(*) AS total, COUNT(`description_end_date`) AS non_null,
       MIN(`description_end_date`) AS min_dt, MAX(`description_end_date`) AS max_dt
FROM   bpms.sync_loan_foreclosure_hold;</t>
        </is>
      </c>
      <c r="T62" s="124" t="inlineStr">
        <is>
          <t>[BPS prod·数据日 fctrdt≤2026-06-01·ETL载入 2026-06-03] 非空 357/375 · 区间 2019-11-15~2026-06-01</t>
        </is>
      </c>
    </row>
    <row r="63" ht="40" customHeight="1" s="74">
      <c r="A63" s="13" t="n">
        <v>57</v>
      </c>
      <c r="B63" s="13" t="inlineStr">
        <is>
          <t>2.4 Hold槽位字段 — Hold</t>
        </is>
      </c>
      <c r="C63" s="19" t="inlineStr">
        <is>
          <t>hold_3_projected_end_date</t>
        </is>
      </c>
      <c r="D63" s="20" t="inlineStr">
        <is>
          <t>newrez.portnewrezfc.fchold3projectedenddate</t>
        </is>
      </c>
      <c r="E63" s="13" t="inlineStr">
        <is>
          <t>DATE</t>
        </is>
      </c>
      <c r="F63" s="13" t="inlineStr">
        <is>
          <t>P2</t>
        </is>
      </c>
      <c r="G63" s="13" t="inlineStr">
        <is>
          <t>Hold 3预计结束日期；参与MAX计算</t>
        </is>
      </c>
      <c r="H63" s="13" t="inlineStr">
        <is>
          <t>YYYY-MM-DD</t>
        </is>
      </c>
      <c r="I63" s="49" t="inlineStr">
        <is>
          <t>YYYY-MM-DD</t>
        </is>
      </c>
      <c r="J63" s="49" t="inlineStr">
        <is>
          <t>2024-03-20</t>
        </is>
      </c>
      <c r="K63" s="13" t="inlineStr">
        <is>
          <t>variance_estimated_hold_days计算（与槽1/2并列）</t>
        </is>
      </c>
      <c r="L63" s="132" t="inlineStr">
        <is>
          <t>N/A — BPS hold 表无 projected end 列</t>
        </is>
      </c>
      <c r="M63" s="7" t="inlineStr">
        <is>
          <t>✅</t>
        </is>
      </c>
      <c r="N63" s="126" t="inlineStr">
        <is>
          <t>-- 验证 hold_3_projected_end_date 取值样例（最新快照取10笔，快速查看字段的样子）
-- 源表: newrez.portnewrezfc | 运行于: mysql_dev
SELECT loanid, dataasof, fchold3projectedenddate
FROM   newrez.portnewrezfc
WHERE  dataasof = '2026-06-01'
  AND  fchold3projectedenddate IS NOT NULL
LIMIT  10;</t>
        </is>
      </c>
      <c r="O63" s="68" t="inlineStr">
        <is>
          <t>[data_date 2026-06-01] 2026-07-26 | 2026-05-01 | 2026-05-16 | 2026-04-30 | 2026-04-13 | 2026-04-13 | 2026-05-27 | 2025-10-31 | 2026-05-26 | 2026-04-19（10笔）</t>
        </is>
      </c>
      <c r="S63" s="124" t="inlineStr">
        <is>
          <t>-- N/A — BPS hold 表无 projected end 列</t>
        </is>
      </c>
      <c r="T63" s="124" t="inlineStr">
        <is>
          <t>N/A — 不映射到 BPS FCL 同步表（见左侧说明）</t>
        </is>
      </c>
    </row>
    <row r="64" ht="40" customHeight="1" s="74">
      <c r="A64" s="13" t="n">
        <v>58</v>
      </c>
      <c r="B64" s="13" t="inlineStr">
        <is>
          <t>2.4 Hold槽位字段 — Hold</t>
        </is>
      </c>
      <c r="C64" s="19" t="inlineStr">
        <is>
          <t>hold_1_modified_date</t>
        </is>
      </c>
      <c r="D64" s="20" t="inlineStr">
        <is>
          <t>newrez.portnewrezfc.holdmodified</t>
        </is>
      </c>
      <c r="E64" s="13" t="inlineStr">
        <is>
          <t>DATE</t>
        </is>
      </c>
      <c r="F64" s="13" t="inlineStr">
        <is>
          <t>P2</t>
        </is>
      </c>
      <c r="G64" s="13" t="inlineStr">
        <is>
          <t>Hold槽1最后修改日</t>
        </is>
      </c>
      <c r="H64" s="13" t="inlineStr">
        <is>
          <t>YYYY-MM-DD</t>
        </is>
      </c>
      <c r="I64" s="49" t="inlineStr">
        <is>
          <t>YYYY-MM-DD</t>
        </is>
      </c>
      <c r="J64" s="49" t="inlineStr">
        <is>
          <t>2024-02-20</t>
        </is>
      </c>
      <c r="K64" s="13" t="inlineStr">
        <is>
          <t>Hold槽1修改日追踪</t>
        </is>
      </c>
      <c r="L64" s="132" t="inlineStr">
        <is>
          <t>N/A — BPS hold 表无 modified 列</t>
        </is>
      </c>
      <c r="M64" s="7" t="inlineStr">
        <is>
          <t>✅ 82.1%</t>
        </is>
      </c>
      <c r="N64" s="126" t="inlineStr">
        <is>
          <t>-- 验证 hold_1_modified_date 取值样例（最新快照取10笔，快速查看字段的样子）
-- 源表: newrez.portnewrezfc | 运行于: mysql_dev
SELECT loanid, dataasof, holdmodified
FROM   newrez.portnewrezfc
WHERE  dataasof = '2026-06-01'
  AND  holdmodified IS NOT NULL
LIMIT  10;</t>
        </is>
      </c>
      <c r="O64" s="68" t="inlineStr">
        <is>
          <t>[data_date 2026-06-01] 2025-11-07 | 2026-05-28 | 2026-05-11 | 2026-05-07 | 2026-05-05 | 2026-03-10 | 2026-05-12 | 2026-04-29 | 2025-11-11 | 2026-05-29（10笔）</t>
        </is>
      </c>
      <c r="S64" s="124" t="inlineStr">
        <is>
          <t>-- N/A — BPS hold 表无 modified 列</t>
        </is>
      </c>
      <c r="T64" s="124" t="inlineStr">
        <is>
          <t>N/A — 不映射到 BPS FCL 同步表（见左侧说明）</t>
        </is>
      </c>
    </row>
    <row r="65" ht="40" customHeight="1" s="74">
      <c r="A65" s="13" t="n">
        <v>59</v>
      </c>
      <c r="B65" s="13" t="inlineStr">
        <is>
          <t>2.4 Hold槽位字段 — Hold</t>
        </is>
      </c>
      <c r="C65" s="19" t="inlineStr">
        <is>
          <t>hold_2_modified_date</t>
        </is>
      </c>
      <c r="D65" s="20" t="inlineStr">
        <is>
          <t>newrez.portnewrezfc.holdmodified2</t>
        </is>
      </c>
      <c r="E65" s="13" t="inlineStr">
        <is>
          <t>DATE</t>
        </is>
      </c>
      <c r="F65" s="13" t="inlineStr">
        <is>
          <t>P2</t>
        </is>
      </c>
      <c r="G65" s="13" t="inlineStr">
        <is>
          <t>Hold槽2最后修改日</t>
        </is>
      </c>
      <c r="H65" s="13" t="inlineStr">
        <is>
          <t>YYYY-MM-DD</t>
        </is>
      </c>
      <c r="I65" s="49" t="inlineStr">
        <is>
          <t>YYYY-MM-DD</t>
        </is>
      </c>
      <c r="J65" s="49" t="inlineStr">
        <is>
          <t>2024-02-20</t>
        </is>
      </c>
      <c r="K65" s="13" t="inlineStr">
        <is>
          <t>Hold槽2修改日追踪</t>
        </is>
      </c>
      <c r="L65" s="132" t="inlineStr">
        <is>
          <t>N/A — BPS hold 表无 modified 列</t>
        </is>
      </c>
      <c r="M65" s="7" t="inlineStr">
        <is>
          <t>✅ 82.1%</t>
        </is>
      </c>
      <c r="N65" s="126" t="inlineStr">
        <is>
          <t>-- 验证 hold_2_modified_date 取值样例（最新快照取10笔，快速查看字段的样子）
-- 源表: newrez.portnewrezfc | 运行于: mysql_dev
SELECT loanid, dataasof, holdmodified2
FROM   newrez.portnewrezfc
WHERE  dataasof = '2026-06-01'
  AND  holdmodified2 IS NOT NULL
LIMIT  10;</t>
        </is>
      </c>
      <c r="O65" s="68" t="inlineStr">
        <is>
          <t>[data_date 2026-06-01] 2025-11-07 | 2026-05-28 | 2026-05-11 | 2026-05-07 | 2026-05-05 | 2026-03-10 | 2026-05-08 | 2026-04-29 | 2025-10-30 | 2026-05-05（10笔）</t>
        </is>
      </c>
      <c r="S65" s="124" t="inlineStr">
        <is>
          <t>-- N/A — BPS hold 表无 modified 列</t>
        </is>
      </c>
      <c r="T65" s="124" t="inlineStr">
        <is>
          <t>N/A — 不映射到 BPS FCL 同步表（见左侧说明）</t>
        </is>
      </c>
    </row>
    <row r="66" ht="18" customHeight="1" s="74">
      <c r="A66" s="13" t="n">
        <v>60</v>
      </c>
      <c r="B66" s="13" t="inlineStr">
        <is>
          <t>2.4 Hold槽位字段 — Hold</t>
        </is>
      </c>
      <c r="C66" s="19" t="inlineStr">
        <is>
          <t>hold_3_modified_date</t>
        </is>
      </c>
      <c r="D66" s="20" t="inlineStr">
        <is>
          <t>newrez.portnewrezfc.holdmodified3</t>
        </is>
      </c>
      <c r="E66" s="13" t="inlineStr">
        <is>
          <t>DATE</t>
        </is>
      </c>
      <c r="F66" s="13" t="inlineStr">
        <is>
          <t>P2</t>
        </is>
      </c>
      <c r="G66" s="13" t="inlineStr">
        <is>
          <t>Hold槽3最后修改日</t>
        </is>
      </c>
      <c r="H66" s="13" t="inlineStr">
        <is>
          <t>YYYY-MM-DD</t>
        </is>
      </c>
      <c r="I66" s="49" t="inlineStr">
        <is>
          <t>YYYY-MM-DD</t>
        </is>
      </c>
      <c r="J66" s="49" t="inlineStr">
        <is>
          <t>2024-02-20</t>
        </is>
      </c>
      <c r="K66" s="13" t="inlineStr">
        <is>
          <t>Hold槽3修改日追踪</t>
        </is>
      </c>
      <c r="L66" s="132" t="inlineStr">
        <is>
          <t>N/A — BPS hold 表无 modified 列</t>
        </is>
      </c>
      <c r="M66" s="7" t="inlineStr">
        <is>
          <t>✅ 82.1%</t>
        </is>
      </c>
      <c r="N66" s="126" t="inlineStr">
        <is>
          <t>-- 验证 hold_3_modified_date 取值样例（最新快照取10笔，快速查看字段的样子）
-- 源表: newrez.portnewrezfc | 运行于: mysql_dev
SELECT loanid, dataasof, holdmodified3
FROM   newrez.portnewrezfc
WHERE  dataasof = '2026-06-01'
  AND  holdmodified3 IS NOT NULL
LIMIT  10;</t>
        </is>
      </c>
      <c r="O66" s="68" t="inlineStr">
        <is>
          <t>[data_date 2026-06-01] 2026-05-27 | 2026-04-27 | 2026-04-22 | 2026-04-27 | 2026-02-26 | 2026-04-09 | 2026-04-27 | 2025-10-23 | 2026-04-14 | 2026-03-27（10笔）</t>
        </is>
      </c>
      <c r="S66" s="124" t="inlineStr">
        <is>
          <t>-- N/A — BPS hold 表无 modified 列</t>
        </is>
      </c>
      <c r="T66" s="124" t="inlineStr">
        <is>
          <t>N/A — 不映射到 BPS FCL 同步表（见左侧说明）</t>
        </is>
      </c>
    </row>
    <row r="67" ht="40" customHeight="1" s="74">
      <c r="A67" s="119" t="inlineStr">
        <is>
          <t>Section 2.5 — 竞标与销售字段 — Bid Approval面板</t>
        </is>
      </c>
      <c r="B67" s="70" t="n"/>
      <c r="C67" s="70" t="n"/>
      <c r="D67" s="70" t="n"/>
      <c r="E67" s="70" t="n"/>
      <c r="F67" s="70" t="n"/>
      <c r="G67" s="70" t="n"/>
      <c r="H67" s="70" t="n"/>
      <c r="I67" s="70" t="n"/>
      <c r="J67" s="71" t="n"/>
      <c r="K67" s="2" t="n"/>
      <c r="M67" s="3" t="n"/>
    </row>
    <row r="68" ht="40" customHeight="1" s="74">
      <c r="A68" s="13" t="n">
        <v>61</v>
      </c>
      <c r="B68" s="13" t="inlineStr">
        <is>
          <t>2.5 竞标与销售字段 — Bid A</t>
        </is>
      </c>
      <c r="C68" s="19" t="inlineStr">
        <is>
          <t>bid_amount</t>
        </is>
      </c>
      <c r="D68" s="20" t="inlineStr">
        <is>
          <t>newrez.portnewrezfc.fcbidamount</t>
        </is>
      </c>
      <c r="E68" s="13" t="inlineStr">
        <is>
          <t>DECIMAL</t>
        </is>
      </c>
      <c r="F68" s="13" t="inlineStr">
        <is>
          <t>P2</t>
        </is>
      </c>
      <c r="G68" s="13" t="inlineStr">
        <is>
          <t>Servicer报告的止赎竞标金额；仅拍卖临近时填充（active FCL约9%填充率）</t>
        </is>
      </c>
      <c r="H68" s="13" t="inlineStr">
        <is>
          <t>金额（小数）</t>
        </is>
      </c>
      <c r="I68" s="49" t="inlineStr">
        <is>
          <t>正数，单位 USD</t>
        </is>
      </c>
      <c r="J68" s="49" t="inlineStr">
        <is>
          <t>160000.00</t>
        </is>
      </c>
      <c r="K68" s="13" t="inlineStr">
        <is>
          <t>Bid Approval &gt; bid_approval_bid_amount / FCL Summary &gt; summary_foreclosure_bid_amount</t>
        </is>
      </c>
      <c r="L68" s="132" t="inlineStr">
        <is>
          <t>直接取值（fcbidamount → summary_foreclosure_bid_amount / summary_srv_fc_bid_amount）</t>
        </is>
      </c>
      <c r="M68" s="7" t="inlineStr">
        <is>
          <t>✅ 9.0%（fcbidamount，$90,000~$543,305.96）</t>
        </is>
      </c>
      <c r="N68" s="126" t="inlineStr">
        <is>
          <t>-- 验证 bid_amount 取值样例（最新快照取10笔，快速查看字段的样子）
-- 源表: newrez.portnewrezfc | 运行于: mysql_dev
SELECT loanid, dataasof, fcbidamount
FROM   newrez.portnewrezfc
WHERE  dataasof = '2026-06-01'
  AND  fcbidamount IS NOT NULL
LIMIT  10;</t>
        </is>
      </c>
      <c r="O68" s="68" t="inlineStr">
        <is>
          <t>[data_date 2026-06-01] 288000.0000000000000000 | 154591.0100000000000000 | 136392.4400000000000000 | 164738.0000000000000000 | 250540.4900000000000000 | 355000.0000000000000000 | 301500.0000000000000000 | 260555.0000000000000000 | 390832.5000000000000000 | 125366.7300000000000000（10笔）</t>
        </is>
      </c>
      <c r="S68" s="124" t="inlineStr">
        <is>
          <t>-- 验证 BPS summary_foreclosure_bid_amount 取值（numeric）
-- 表: bpms.sync_loan_foreclosure | 运行于: mysql_prod（只读）
-- as-of: 主表无 dataasof/fctrdt（upsert，update_time 实测全 NULL）；ETL 载入≈2026-06-03（取自 sync_fcl_stage_info.update_time）
SELECT '2026-06-01' AS data_date, COUNT(*) AS total, COUNT(`summary_foreclosure_bid_amount`) AS non_null,
       MIN(`summary_foreclosure_bid_amount`) AS min_v, MAX(`summary_foreclosure_bid_amount`) AS max_v, ROUND(AVG(`summary_foreclosure_bid_amount`),2) AS avg_v
FROM   bpms.sync_loan_foreclosure;</t>
        </is>
      </c>
      <c r="T68" s="124" t="inlineStr">
        <is>
          <t>[BPS prod·数据日 2026-06-01(主表无嵌入,同 ETL 周期 Newrez 源日)·ETL载入 2026-06-03] 非空 16/89 · 区间 90000~543305.96 · 均值 265705.54</t>
        </is>
      </c>
    </row>
    <row r="69" ht="40" customHeight="1" s="74">
      <c r="A69" s="13" t="n">
        <v>62</v>
      </c>
      <c r="B69" s="13" t="inlineStr">
        <is>
          <t>2.5 竞标与销售字段 — Bid A</t>
        </is>
      </c>
      <c r="C69" s="19" t="inlineStr">
        <is>
          <t>approved_bid_price</t>
        </is>
      </c>
      <c r="D69" s="20" t="inlineStr">
        <is>
          <t>newrez.portnewrezfc.fcapprbidprice</t>
        </is>
      </c>
      <c r="E69" s="13" t="inlineStr">
        <is>
          <t>DECIMAL</t>
        </is>
      </c>
      <c r="F69" s="13" t="inlineStr">
        <is>
          <t>P2</t>
        </is>
      </c>
      <c r="G69" s="13" t="inlineStr">
        <is>
          <t>BPS内部竞标审批流程后的已批准竞标金额；可能与fcbidamount不同</t>
        </is>
      </c>
      <c r="H69" s="13" t="inlineStr">
        <is>
          <t>金额（小数）</t>
        </is>
      </c>
      <c r="I69" s="49" t="inlineStr">
        <is>
          <t>正数，单位 USD</t>
        </is>
      </c>
      <c r="J69" s="49" t="inlineStr">
        <is>
          <t>162000.00</t>
        </is>
      </c>
      <c r="K69" s="13" t="inlineStr">
        <is>
          <t>Bid Approval &gt; bid_approval_bid_amount（审批视角）</t>
        </is>
      </c>
      <c r="L69" s="132" t="inlineStr">
        <is>
          <t>直接取值（fcapprbidprice → bid_approval_bid_amount；Bid Approval 面板）</t>
        </is>
      </c>
      <c r="M69" s="7" t="inlineStr">
        <is>
          <t>✅ 8.9%（fcapprbidprice，$90,000~$536,008.42）</t>
        </is>
      </c>
      <c r="N69" s="126" t="inlineStr">
        <is>
          <t>-- 验证 approved_bid_price 取值样例（最新快照取10笔，快速查看字段的样子）
-- 源表: newrez.portnewrezfc | 运行于: mysql_dev
SELECT loanid, dataasof, fcapprbidprice
FROM   newrez.portnewrezfc
WHERE  dataasof = '2026-06-01'
  AND  fcapprbidprice IS NOT NULL
LIMIT  10;</t>
        </is>
      </c>
      <c r="O69" s="68" t="inlineStr">
        <is>
          <t>[data_date 2026-06-01] 288000.0000000000000000 | 136392.4400000000000000 | 164738.0000000000000000 | 250540.4900000000000000 | 355000.0000000000000000 | 301500.0000000000000000 | 260555.0000000000000000 | 390832.5000000000000000 | 123294.5700000000000000 | 230805.9400000000000000（10笔）</t>
        </is>
      </c>
      <c r="S69" s="124" t="inlineStr">
        <is>
          <t>-- 验证 BPS bid_approval_bid_amount 取值（numeric）— Bid Approval 面板
-- 表: bpms.sync_loan_foreclosure | 运行于: mysql_prod（只读）
-- as-of: 主表无 dataasof/fctrdt（upsert，update_time 实测全 NULL）；ETL 载入≈2026-06-03（取自 sync_fcl_stage_info.update_time）
SELECT '2026-06-01' AS data_date, COUNT(*) AS total, COUNT(`bid_approval_bid_amount`) AS non_null,
       MIN(`bid_approval_bid_amount`) AS min_v, MAX(`bid_approval_bid_amount`) AS max_v, ROUND(AVG(`bid_approval_bid_amount`),2) AS avg_v
FROM   bpms.sync_loan_foreclosure;</t>
        </is>
      </c>
      <c r="T69" s="124" t="inlineStr">
        <is>
          <t>[BPS prod·数据日 2026-06-01(主表无嵌入,同 ETL 周期 Newrez 源日)·ETL载入 2026-06-03] 非空 16/89 · 区间 90000~543305.96 · 均值 265705.54</t>
        </is>
      </c>
    </row>
    <row r="70" ht="18" customHeight="1" s="74">
      <c r="A70" s="12" t="n">
        <v>63</v>
      </c>
      <c r="B70" s="12" t="inlineStr">
        <is>
          <t>2.5 竞标与销售字段 — Bid A</t>
        </is>
      </c>
      <c r="C70" s="16" t="inlineStr">
        <is>
          <t>sale_amount</t>
        </is>
      </c>
      <c r="D70" s="17" t="inlineStr">
        <is>
          <t>newrez.portnewrezfc.fcsaleamount</t>
        </is>
      </c>
      <c r="E70" s="12" t="inlineStr">
        <is>
          <t>DECIMAL</t>
        </is>
      </c>
      <c r="F70" s="12" t="inlineStr">
        <is>
          <t>P1</t>
        </is>
      </c>
      <c r="G70" s="12" t="inlineStr">
        <is>
          <t>止赎拍卖实际成交金额；填充率(4.7%)高于fcsalehelddate(2.1%)，疑似字段顺序问题（见doc 13 Q9）</t>
        </is>
      </c>
      <c r="H70" s="12" t="inlineStr">
        <is>
          <t>金额（小数）</t>
        </is>
      </c>
      <c r="I70" s="48" t="inlineStr">
        <is>
          <t>正数，单位 USD</t>
        </is>
      </c>
      <c r="J70" s="48" t="inlineStr">
        <is>
          <t>170000.00</t>
        </is>
      </c>
      <c r="K70" s="12" t="inlineStr">
        <is>
          <t>FCL Summary &gt; summary_foreclosure_sale_amount</t>
        </is>
      </c>
      <c r="L70" s="131" t="inlineStr">
        <is>
          <t>直接取值（fcsaleamount → summary_foreclosure_sale_amount）</t>
        </is>
      </c>
      <c r="M70" s="8" t="inlineStr">
        <is>
          <t>⚠️ 4.7%（fcsaleamount，$90,001~$400,000；填充率异常，见doc 13 Q9）</t>
        </is>
      </c>
      <c r="N70" s="128" t="inlineStr">
        <is>
          <t>-- 验证 sale_amount 取值样例（最新快照取10笔，快速查看字段的样子）
-- 源表: newrez.portnewrezfc | 运行于: mysql_dev
SELECT loanid, dataasof, fcsaleamount
FROM   newrez.portnewrezfc
WHERE  dataasof = '2026-06-01'
  AND  fcsaleamount IS NOT NULL
LIMIT  10;</t>
        </is>
      </c>
      <c r="O70" s="68" t="inlineStr">
        <is>
          <t>[data_date 2026-06-01] 288000.0000000000000000 | 165900.0000000000000000 | 164738.0000000000000000 | 200100.0000000000000000 | 260555.0000000000000000 | 357200.0000000000000000 | 203122.0000000000000000 | 274000.0000000000000000 | 400000.0000000000000000 | 90001.0000000000000000（10笔）</t>
        </is>
      </c>
      <c r="S70" s="124" t="inlineStr">
        <is>
          <t>-- 验证 BPS summary_foreclosure_sale_amount 取值（numeric）
-- 表: bpms.sync_loan_foreclosure | 运行于: mysql_prod（只读）
-- as-of: 主表无 dataasof/fctrdt（upsert，update_time 实测全 NULL）；ETL 载入≈2026-06-03（取自 sync_fcl_stage_info.update_time）
SELECT '2026-06-01' AS data_date, COUNT(*) AS total, COUNT(`summary_foreclosure_sale_amount`) AS non_null,
       MIN(`summary_foreclosure_sale_amount`) AS min_v, MAX(`summary_foreclosure_sale_amount`) AS max_v, ROUND(AVG(`summary_foreclosure_sale_amount`),2) AS avg_v
FROM   bpms.sync_loan_foreclosure;</t>
        </is>
      </c>
      <c r="T70" s="124" t="inlineStr">
        <is>
          <t>[BPS prod·数据日 2026-06-01(主表无嵌入,同 ETL 周期 Newrez 源日)·ETL载入 2026-06-03] 非空 10/89 · 区间 90001~400000 · 均值 240361.60</t>
        </is>
      </c>
    </row>
    <row r="71" ht="40" customHeight="1" s="74">
      <c r="A71" s="119" t="inlineStr">
        <is>
          <t>Section 2.6 — 贷款属性与风险增强字段 — Newrez已提供但系统尚未使用</t>
        </is>
      </c>
      <c r="B71" s="70" t="n"/>
      <c r="C71" s="70" t="n"/>
      <c r="D71" s="70" t="n"/>
      <c r="E71" s="70" t="n"/>
      <c r="F71" s="70" t="n"/>
      <c r="G71" s="70" t="n"/>
      <c r="H71" s="70" t="n"/>
      <c r="I71" s="70" t="n"/>
      <c r="J71" s="71" t="n"/>
      <c r="K71" s="2" t="n"/>
      <c r="M71" s="3" t="n"/>
    </row>
    <row r="72" ht="40" customHeight="1" s="74">
      <c r="A72" s="12" t="n">
        <v>64</v>
      </c>
      <c r="B72" s="12" t="inlineStr">
        <is>
          <t>2.6 贷款属性与风险增强字段 — N</t>
        </is>
      </c>
      <c r="C72" s="16" t="inlineStr">
        <is>
          <t>investor_loan_id</t>
        </is>
      </c>
      <c r="D72" s="17" t="inlineStr">
        <is>
          <t>newrez.portnewrezfc.investorloanid</t>
        </is>
      </c>
      <c r="E72" s="12" t="inlineStr">
        <is>
          <t>VARCHAR</t>
        </is>
      </c>
      <c r="F72" s="12" t="inlineStr">
        <is>
          <t>P1</t>
        </is>
      </c>
      <c r="G72" s="12" t="inlineStr">
        <is>
          <t>投资人（如房利美/房地美/私募基金）视角的贷款号；不同于系统loan_id和servicer_loan_id；用于投资人报告对账</t>
        </is>
      </c>
      <c r="H72" s="12" t="inlineStr">
        <is>
          <t>投资人贷款号字符串</t>
        </is>
      </c>
      <c r="I72" s="48" t="inlineStr">
        <is>
          <t>投资人贷款编号</t>
        </is>
      </c>
      <c r="J72" s="48" t="inlineStr">
        <is>
          <t>INV-20240110-088</t>
        </is>
      </c>
      <c r="K72" s="12" t="inlineStr">
        <is>
          <t>投资人报告对账 / 跨Servicer转让追踪（当前ETL未使用）</t>
        </is>
      </c>
      <c r="L72" s="131" t="inlineStr">
        <is>
          <t>N/A — Newrez 已提供但系统尚未使用（不入 BPS 同步表）</t>
        </is>
      </c>
      <c r="M72" s="7" t="inlineStr">
        <is>
          <t>✅ 100%</t>
        </is>
      </c>
      <c r="N72" s="126" t="inlineStr">
        <is>
          <t>-- 验证 investor_loan_id 取值样例（最新快照取10笔，快速查看字段的样子）
-- 源表: newrez.portnewrezfc | 运行于: mysql_dev
SELECT loanid, dataasof, investorloanid
FROM   newrez.portnewrezfc
WHERE  dataasof = '2026-06-01'
  AND  investorloanid IS NOT NULL AND investorloanid != ''
LIMIT  10;</t>
        </is>
      </c>
      <c r="O72" s="68" t="inlineStr">
        <is>
          <t>[data_date 2026-06-01] 5087355 | 5084227 | 5085432 | 5085637 | 5084093 | 5085003 | 8195317 | 5086934 | 5084351 | 5085356（10笔）</t>
        </is>
      </c>
      <c r="S72" s="124" t="inlineStr">
        <is>
          <t>-- N/A — 系统尚未使用（不入 BPS 同步表）</t>
        </is>
      </c>
      <c r="T72" s="124" t="inlineStr">
        <is>
          <t>N/A — 不映射到 BPS FCL 同步表（见左侧说明）</t>
        </is>
      </c>
    </row>
    <row r="73" ht="40" customHeight="1" s="74">
      <c r="A73" s="12" t="n">
        <v>65</v>
      </c>
      <c r="B73" s="12" t="inlineStr">
        <is>
          <t>2.6 贷款属性与风险增强字段 — N</t>
        </is>
      </c>
      <c r="C73" s="16" t="inlineStr">
        <is>
          <t>lien_position</t>
        </is>
      </c>
      <c r="D73" s="17" t="inlineStr">
        <is>
          <t>newrez.portnewrezgeneral.lienposition（另 portnewrezfc.jr_sr_lien_flag 为顺位标志）</t>
        </is>
      </c>
      <c r="E73" s="12" t="inlineStr">
        <is>
          <t>INT</t>
        </is>
      </c>
      <c r="F73" s="12" t="inlineStr">
        <is>
          <t>P1</t>
        </is>
      </c>
      <c r="G73" s="12" t="inlineStr">
        <is>
          <t>留置权优先级：1=第一顺位（高级）；2=第二顺位（次级）；次级贷款止赎必须考虑第一顺位优先索偿权，FCL策略根本不同</t>
        </is>
      </c>
      <c r="H73" s="12" t="inlineStr">
        <is>
          <t>1=第一顺位(Senior) / 2=第二顺位(Junior)</t>
        </is>
      </c>
      <c r="I73" s="48" t="inlineStr">
        <is>
          <t>1（First Lien）/ 2（Second Lien）</t>
        </is>
      </c>
      <c r="J73" s="48" t="inlineStr">
        <is>
          <t>1</t>
        </is>
      </c>
      <c r="K73" s="12" t="inlineStr">
        <is>
          <t>留置权风险分析 / Junior Lien FCL策略差异化（当前ETL未使用）</t>
        </is>
      </c>
      <c r="L73" s="131" t="inlineStr">
        <is>
          <t>N/A — Newrez 已提供但系统尚未使用（不入 BPS 同步表）</t>
        </is>
      </c>
      <c r="M73" s="7" t="inlineStr">
        <is>
          <t>✅ 100%（lienposition，1或2，portnewrezgeneral实测）</t>
        </is>
      </c>
      <c r="N73" s="126" t="inlineStr">
        <is>
          <t>-- 验证 lien_position 取值范围
-- 源表: newrez.portnewrezgeneral | 运行于: mysql_dev
-- 快照表：已固定 dataasof='2026-06-01' 过滤（与 BPS 数据日对齐，复跑结果不变；计数=该日真实贷款分布，非全历史快照行数）
SELECT dataasof AS data_date, lienposition AS val, COUNT(*) AS cnt
FROM   newrez.portnewrezgeneral
WHERE  dataasof = '2026-06-01'
  AND  lienposition IS NOT NULL AND lienposition != ''
GROUP  BY dataasof, lienposition ORDER BY cnt DESC LIMIT 30;</t>
        </is>
      </c>
      <c r="O73" s="68" t="inlineStr">
        <is>
          <t>[data_date 2026-06-01] 1:5025 | 2:27</t>
        </is>
      </c>
      <c r="S73" s="124" t="inlineStr">
        <is>
          <t>-- N/A — 系统尚未使用（不入 BPS 同步表）</t>
        </is>
      </c>
      <c r="T73" s="124" t="inlineStr">
        <is>
          <t>N/A — 不映射到 BPS FCL 同步表（见左侧说明）</t>
        </is>
      </c>
    </row>
    <row r="74" ht="40" customHeight="1" s="74">
      <c r="A74" s="12" t="n">
        <v>66</v>
      </c>
      <c r="B74" s="12" t="inlineStr">
        <is>
          <t>2.6 贷款属性与风险增强字段 — N</t>
        </is>
      </c>
      <c r="C74" s="16" t="inlineStr">
        <is>
          <t>interest_paid_through_date</t>
        </is>
      </c>
      <c r="D74" s="17" t="inlineStr">
        <is>
          <t>newrez.portnewrezgeneral.interestpaidthroughdate</t>
        </is>
      </c>
      <c r="E74" s="12" t="inlineStr">
        <is>
          <t>DATE</t>
        </is>
      </c>
      <c r="F74" s="12" t="inlineStr">
        <is>
          <t>P1</t>
        </is>
      </c>
      <c r="G74" s="12" t="inlineStr">
        <is>
          <t>借款人利息付至日期；与dataasof之差即为真实逾期天数；比nextduedate更精确直接</t>
        </is>
      </c>
      <c r="H74" s="12" t="inlineStr">
        <is>
          <t>YYYY-MM-DD</t>
        </is>
      </c>
      <c r="I74" s="48" t="inlineStr">
        <is>
          <t>YYYY-MM-DD</t>
        </is>
      </c>
      <c r="J74" s="48" t="inlineStr">
        <is>
          <t>2024-01-31</t>
        </is>
      </c>
      <c r="K74" s="12" t="inlineStr">
        <is>
          <t>真实逾期天数计算（当前ETL未使用）</t>
        </is>
      </c>
      <c r="L74" s="131" t="inlineStr">
        <is>
          <t>N/A — Newrez 已提供但系统尚未使用（不入 BPS 同步表）</t>
        </is>
      </c>
      <c r="M74" s="7" t="inlineStr">
        <is>
          <t>✅ 100%（interestpaidthroughdate，2022-09-30~2026-11-30）</t>
        </is>
      </c>
      <c r="N74" s="126" t="inlineStr">
        <is>
          <t>-- 验证 interest_paid_through_date 取值样例（最新快照取10笔，快速查看字段的样子）
-- 源表: newrez.portnewrezgeneral | 运行于: mysql_dev
SELECT loanid, dataasof, interestpaidthroughdate
FROM   newrez.portnewrezgeneral
WHERE  dataasof = '2026-06-01'
  AND  interestpaidthroughdate IS NOT NULL
LIMIT  10;</t>
        </is>
      </c>
      <c r="O74" s="68" t="inlineStr">
        <is>
          <t>[data_date 2026-06-01] 2026-05-01 | 2026-05-01 | 2026-06-01 | 2025-09-01 | 2024-06-01 | 2026-06-01 | 2026-05-01 | 2026-05-01 | 2026-06-01 | 2025-10-01（10笔）</t>
        </is>
      </c>
      <c r="S74" s="124" t="inlineStr">
        <is>
          <t>-- N/A — 系统尚未使用（不入 BPS 同步表）</t>
        </is>
      </c>
      <c r="T74" s="124" t="inlineStr">
        <is>
          <t>N/A — 不映射到 BPS FCL 同步表（见左侧说明）</t>
        </is>
      </c>
    </row>
    <row r="75" ht="40" customHeight="1" s="74">
      <c r="A75" s="12" t="n">
        <v>67</v>
      </c>
      <c r="B75" s="12" t="inlineStr">
        <is>
          <t>2.6 贷款属性与风险增强字段 — N</t>
        </is>
      </c>
      <c r="C75" s="16" t="inlineStr">
        <is>
          <t>in_auction_flag</t>
        </is>
      </c>
      <c r="D75" s="17" t="inlineStr">
        <is>
          <t>newrez.portnewrezgeneral.inauctionflag</t>
        </is>
      </c>
      <c r="E75" s="12" t="inlineStr">
        <is>
          <t>INT</t>
        </is>
      </c>
      <c r="F75" s="12" t="inlineStr">
        <is>
          <t>P1</t>
        </is>
      </c>
      <c r="G75" s="12" t="inlineStr">
        <is>
          <t>是否当前处于拍卖程序中（1=是）；填充率低但信号强——任何有值记录均表明止赎接近完成</t>
        </is>
      </c>
      <c r="H75" s="12" t="inlineStr">
        <is>
          <t>0 / 1（有值即高优先级信号）</t>
        </is>
      </c>
      <c r="I75" s="48" t="inlineStr">
        <is>
          <t>0 / 1</t>
        </is>
      </c>
      <c r="J75" s="48" t="inlineStr">
        <is>
          <t>0</t>
        </is>
      </c>
      <c r="K75" s="12" t="inlineStr">
        <is>
          <t>拍卖临近高优先级处理（当前ETL未使用）</t>
        </is>
      </c>
      <c r="L75" s="131" t="inlineStr">
        <is>
          <t>N/A — Newrez 已提供但系统尚未使用（不入 BPS 同步表）</t>
        </is>
      </c>
      <c r="M75" s="7" t="inlineStr">
        <is>
          <t>✅ 7.7% (有值即高信号)</t>
        </is>
      </c>
      <c r="N75" s="126" t="inlineStr">
        <is>
          <t>-- 验证 in_auction_flag 取值范围
-- 源表: newrez.portnewrezgeneral | 运行于: mysql_dev
-- 快照表：已固定 dataasof='2026-06-01' 过滤（与 BPS 数据日对齐，复跑结果不变；计数=该日真实贷款分布，非全历史快照行数）
SELECT dataasof AS data_date, inauctionflag, COUNT(*) AS cnt
FROM   newrez.portnewrezgeneral
WHERE  dataasof = '2026-06-01'
GROUP  BY dataasof, inauctionflag ORDER BY cnt DESC;</t>
        </is>
      </c>
      <c r="O75" s="68" t="inlineStr">
        <is>
          <t>[data_date 2026-06-01] 0:5045 | 1:7</t>
        </is>
      </c>
      <c r="S75" s="124" t="inlineStr">
        <is>
          <t>-- N/A — 系统尚未使用（不入 BPS 同步表）</t>
        </is>
      </c>
      <c r="T75" s="124" t="inlineStr">
        <is>
          <t>N/A — 不映射到 BPS FCL 同步表（见左侧说明）</t>
        </is>
      </c>
    </row>
    <row r="76" ht="40" customHeight="1" s="74">
      <c r="A76" s="12" t="n">
        <v>68</v>
      </c>
      <c r="B76" s="12" t="inlineStr">
        <is>
          <t>2.6 贷款属性与风险增强字段 — N</t>
        </is>
      </c>
      <c r="C76" s="16" t="inlineStr">
        <is>
          <t>borrower_deceased_flag</t>
        </is>
      </c>
      <c r="D76" s="17" t="inlineStr">
        <is>
          <t>newrez.portnewrezgeneral.borrowerdeceasedflag</t>
        </is>
      </c>
      <c r="E76" s="12" t="inlineStr">
        <is>
          <t>INT</t>
        </is>
      </c>
      <c r="F76" s="12" t="inlineStr">
        <is>
          <t>P1</t>
        </is>
      </c>
      <c r="G76" s="12" t="inlineStr">
        <is>
          <t>借款人是否已死亡（1=是）；影响止赎法律流程——需通知遗产代表；部分州需重新确认贷款归属</t>
        </is>
      </c>
      <c r="H76" s="12" t="inlineStr">
        <is>
          <t>0 / 1（有值即高影响）</t>
        </is>
      </c>
      <c r="I76" s="48" t="inlineStr">
        <is>
          <t>0 / 1</t>
        </is>
      </c>
      <c r="J76" s="48" t="inlineStr">
        <is>
          <t>0</t>
        </is>
      </c>
      <c r="K76" s="12" t="inlineStr">
        <is>
          <t>遗产代表通知 / 合规流程调整（当前ETL未使用）</t>
        </is>
      </c>
      <c r="L76" s="131" t="inlineStr">
        <is>
          <t>N/A — Newrez 已提供但系统尚未使用（不入 BPS 同步表）</t>
        </is>
      </c>
      <c r="M76" s="7" t="inlineStr">
        <is>
          <t>✅ 5.1% (有值即高影响)</t>
        </is>
      </c>
      <c r="N76" s="126" t="inlineStr">
        <is>
          <t>-- 验证 borrower_deceased_flag 取值范围
-- 源表: newrez.portnewrezgeneral | 运行于: mysql_dev
-- 快照表：已固定 dataasof='2026-06-01' 过滤（与 BPS 数据日对齐，复跑结果不变；计数=该日真实贷款分布，非全历史快照行数）
SELECT dataasof AS data_date, borrowerdeceasedflag, COUNT(*) AS cnt
FROM   newrez.portnewrezgeneral
WHERE  dataasof = '2026-06-01'
GROUP  BY dataasof, borrowerdeceasedflag ORDER BY cnt DESC;</t>
        </is>
      </c>
      <c r="O76" s="68" t="inlineStr">
        <is>
          <t>[data_date 2026-06-01] 0:5036 | 1:16</t>
        </is>
      </c>
      <c r="S76" s="124" t="inlineStr">
        <is>
          <t>-- N/A — 系统尚未使用（不入 BPS 同步表）</t>
        </is>
      </c>
      <c r="T76" s="124" t="inlineStr">
        <is>
          <t>N/A — 不映射到 BPS FCL 同步表（见左侧说明）</t>
        </is>
      </c>
    </row>
    <row r="77" ht="40" customHeight="1" s="74">
      <c r="A77" s="13" t="n">
        <v>69</v>
      </c>
      <c r="B77" s="13" t="inlineStr">
        <is>
          <t>2.6 贷款属性与风险增强字段 — N</t>
        </is>
      </c>
      <c r="C77" s="19" t="inlineStr">
        <is>
          <t>reason_for_default</t>
        </is>
      </c>
      <c r="D77" s="20" t="inlineStr">
        <is>
          <t>newrez.portnewrezgeneral.reasonfordefault</t>
        </is>
      </c>
      <c r="E77" s="13" t="inlineStr">
        <is>
          <t>VARCHAR</t>
        </is>
      </c>
      <c r="F77" s="13" t="inlineStr">
        <is>
          <t>P2</t>
        </is>
      </c>
      <c r="G77" s="13" t="inlineStr">
        <is>
          <t>违约根本原因自由文本（如失业/收入减少/医疗支出）；LM方案选择的关键输入</t>
        </is>
      </c>
      <c r="H77" s="13" t="inlineStr">
        <is>
          <t>自由文本</t>
        </is>
      </c>
      <c r="I77" s="49" t="inlineStr">
        <is>
          <t>自由文本（借款人违约原因）</t>
        </is>
      </c>
      <c r="J77" s="49" t="inlineStr">
        <is>
          <t>Unable to Contact Borrower</t>
        </is>
      </c>
      <c r="K77" s="13" t="inlineStr">
        <is>
          <t>LM方案选择 / 风险分类 / 投资人报告（当前ETL未使用）</t>
        </is>
      </c>
      <c r="L77" s="132" t="inlineStr">
        <is>
          <t>N/A — Newrez 已提供但系统尚未使用（不入 BPS 同步表）</t>
        </is>
      </c>
      <c r="M77" s="7" t="inlineStr">
        <is>
          <t>✅ 46.2%（reasonfordefault：Unable to Contact Borrower | Reduction in Income | Excessive Obligations 等15+种）</t>
        </is>
      </c>
      <c r="N77" s="126" t="inlineStr">
        <is>
          <t>-- 验证 reason_for_default 取值范围
-- 源表: newrez.portnewrezgeneral | 运行于: mysql_dev
-- 快照表：已固定 dataasof='2026-06-01' 过滤（与 BPS 数据日对齐，复跑结果不变；计数=该日真实贷款分布，非全历史快照行数）
SELECT dataasof AS data_date, reasonfordefault AS val, COUNT(*) AS cnt
FROM   newrez.portnewrezgeneral
WHERE  dataasof = '2026-06-01'
  AND  reasonfordefault IS NOT NULL AND reasonfordefault != ''
GROUP  BY dataasof, reasonfordefault ORDER BY cnt DESC LIMIT 30;</t>
        </is>
      </c>
      <c r="O77" s="68" t="inlineStr">
        <is>
          <t>[data_date 2026-06-01] Unable to Contact Borrower:39 | Reduction in Borrower's Income:9 | Within Grace Period:8 | Other/No applicable codes:6 | Servicing Problems:3 | Excessive Obligations:3 | Death of Primary Borrower:3 | Payment Dispute:2 | Unemployment:2 | Customer Pay Period:2 | Illness of Borrower's Family Member:2 | Tenant Not Paying:1 | Overlooked:1 | Illness of Primary Borrower:1 | Inability to Rent Property:1</t>
        </is>
      </c>
      <c r="S77" s="124" t="inlineStr">
        <is>
          <t>-- N/A — 系统尚未使用（不入 BPS 同步表）</t>
        </is>
      </c>
      <c r="T77" s="124" t="inlineStr">
        <is>
          <t>N/A — 不映射到 BPS FCL 同步表（见左侧说明）</t>
        </is>
      </c>
    </row>
    <row r="78" ht="40" customHeight="1" s="74">
      <c r="A78" s="13" t="n">
        <v>70</v>
      </c>
      <c r="B78" s="13" t="inlineStr">
        <is>
          <t>2.6 贷款属性与风险增强字段 — N</t>
        </is>
      </c>
      <c r="C78" s="19" t="inlineStr">
        <is>
          <t>hold_1_comment</t>
        </is>
      </c>
      <c r="D78" s="20" t="inlineStr">
        <is>
          <t>newrez.portnewrezfc.fchold1comment</t>
        </is>
      </c>
      <c r="E78" s="13" t="inlineStr">
        <is>
          <t>VARCHAR</t>
        </is>
      </c>
      <c r="F78" s="13" t="inlineStr">
        <is>
          <t>P2</t>
        </is>
      </c>
      <c r="G78" s="13" t="inlineStr">
        <is>
          <t>Hold槽1详细备注；补充hold_1_description的具体背景（如'BK案号2026-123'/'等待LM决策'）</t>
        </is>
      </c>
      <c r="H78" s="13" t="inlineStr">
        <is>
          <t>自由文本</t>
        </is>
      </c>
      <c r="I78" s="49" t="inlineStr">
        <is>
          <t>自由文本</t>
        </is>
      </c>
      <c r="J78" s="49" t="inlineStr">
        <is>
          <t>Awaiting Bankruptcy Resolution</t>
        </is>
      </c>
      <c r="K78" s="13" t="inlineStr">
        <is>
          <t>Hold面板补充说明（当前ETL未使用）</t>
        </is>
      </c>
      <c r="L78" s="132" t="inlineStr">
        <is>
          <t>N/A — Newrez 已提供但系统尚未使用（不入 BPS 同步表）</t>
        </is>
      </c>
      <c r="M78" s="7" t="inlineStr">
        <is>
          <t>✅ 82.1%</t>
        </is>
      </c>
      <c r="N78" s="126" t="inlineStr">
        <is>
          <t>-- 验证 hold_1_comment 取值样例（最新快照取10笔，快速查看字段的样子）
-- 源表: newrez.portnewrezfc | 运行于: mysql_dev
SELECT loanid, dataasof, fchold1comment
FROM   newrez.portnewrezfc
WHERE  dataasof = '2026-06-01'
  AND  fchold1comment IS NOT NULL AND fchold1comment != ''
LIMIT  10;</t>
        </is>
      </c>
      <c r="O78" s="68" t="inlineStr">
        <is>
          <t>[data_date 2026-06-01] Funds received that could reinstate or payoff the loan:  Unapplied balance: 0.00   Due Date: 12/01/2025 | Delinquency Review | Funds received that could reinstate or payoff the loan:  Unapplied balance: 0.00   Due Date: 06/01/2026 | Delinquency Review | Delinquency Review | Delinquency Review | Praecipe to reinstate complaint received.  Same will be sent to the sheriff to be included with service to effectuate completion.  ETA for service completion is 3-4 weeks.  Our firm last followed up for the needed affidavits on 5/8/26.  Next update 6/5/26. | Chapter 7 filed 04/27/2026. Case 2611770. | Funds received that could reinstate or payoff the loan:  Unapplied balance: 0.00   Due Date: 11/01/2025 | Service still being attempted for The Unknown Tenant in Possession, all others have been served as of 5/28. Next follow up 6/11 eta for completion 6/18（10笔）</t>
        </is>
      </c>
      <c r="S78" s="124" t="inlineStr">
        <is>
          <t>-- N/A — 系统尚未使用（不入 BPS 同步表）</t>
        </is>
      </c>
      <c r="T78" s="124" t="inlineStr">
        <is>
          <t>N/A — 不映射到 BPS FCL 同步表（见左侧说明）</t>
        </is>
      </c>
    </row>
    <row r="79" ht="40" customHeight="1" s="74">
      <c r="A79" s="13" t="n">
        <v>71</v>
      </c>
      <c r="B79" s="13" t="inlineStr">
        <is>
          <t>2.6 贷款属性与风险增强字段 — N</t>
        </is>
      </c>
      <c r="C79" s="19" t="inlineStr">
        <is>
          <t>hold_2_comment</t>
        </is>
      </c>
      <c r="D79" s="20" t="inlineStr">
        <is>
          <t>newrez.portnewrezfc.fchold2comment</t>
        </is>
      </c>
      <c r="E79" s="13" t="inlineStr">
        <is>
          <t>VARCHAR</t>
        </is>
      </c>
      <c r="F79" s="13" t="inlineStr">
        <is>
          <t>P2</t>
        </is>
      </c>
      <c r="G79" s="13" t="inlineStr">
        <is>
          <t>Hold槽2详细备注</t>
        </is>
      </c>
      <c r="H79" s="13" t="inlineStr">
        <is>
          <t>自由文本</t>
        </is>
      </c>
      <c r="I79" s="49" t="inlineStr">
        <is>
          <t>自由文本</t>
        </is>
      </c>
      <c r="J79" s="49" t="inlineStr">
        <is>
          <t>Awaiting Court Scheduling</t>
        </is>
      </c>
      <c r="K79" s="13" t="inlineStr">
        <is>
          <t>Hold面板补充说明（当前ETL未使用）</t>
        </is>
      </c>
      <c r="L79" s="132" t="inlineStr">
        <is>
          <t>N/A — Newrez 已提供但系统尚未使用（不入 BPS 同步表）</t>
        </is>
      </c>
      <c r="M79" s="7" t="inlineStr">
        <is>
          <t>✅ 82.1%</t>
        </is>
      </c>
      <c r="N79" s="126" t="inlineStr">
        <is>
          <t>-- 验证 hold_2_comment 取值样例（最新快照取10笔，快速查看字段的样子）
-- 源表: newrez.portnewrezfc | 运行于: mysql_dev
SELECT loanid, dataasof, fchold2comment
FROM   newrez.portnewrezfc
WHERE  dataasof = '2026-06-01'
  AND  fchold2comment IS NOT NULL AND fchold2comment != ''
LIMIT  10;</t>
        </is>
      </c>
      <c r="O79" s="68" t="inlineStr">
        <is>
          <t>[data_date 2026-06-01] Delinquency Review | Funds received that could reinstate or payoff the loan:  Unapplied balance: 0.00   Due Date: 07/01/2026 | Delinquency Review | Funds received that could reinstate or payoff the loan:  Unapplied balance: 0.00   Due Date: 06/01/2026 | Funds received that could reinstate or payoff the loan:  Unapplied balance: 0.00   Due Date: 06/01/2026 | Funds received that could reinstate or payoff the loan:  Unapplied balance: 0.00   Due Date: 04/08/2026 | Service was initiated 3/13/26. We are currently pending the return of the affidavits of service. This process may take upwards of 45-60 days. Firm last followed up regarding same on 4/10/26.  ETA for completion is 3-4 weeks. Next update 5/8/26. | Pending signature required document to proceed with foreclosure action. | Notice of Sale sent for filing 10/24/2025. ETA for first legal filing is 10/30/2025. Follo …</t>
        </is>
      </c>
      <c r="S79" s="124" t="inlineStr">
        <is>
          <t>-- N/A — 系统尚未使用（不入 BPS 同步表）</t>
        </is>
      </c>
      <c r="T79" s="124" t="inlineStr">
        <is>
          <t>N/A — 不映射到 BPS FCL 同步表（见左侧说明）</t>
        </is>
      </c>
    </row>
    <row r="80" ht="18" customHeight="1" s="74">
      <c r="A80" s="13" t="n">
        <v>72</v>
      </c>
      <c r="B80" s="13" t="inlineStr">
        <is>
          <t>2.6 贷款属性与风险增强字段 — N</t>
        </is>
      </c>
      <c r="C80" s="19" t="inlineStr">
        <is>
          <t>hold_3_comment</t>
        </is>
      </c>
      <c r="D80" s="20" t="inlineStr">
        <is>
          <t>newrez.portnewrezfc.fchold3comment</t>
        </is>
      </c>
      <c r="E80" s="13" t="inlineStr">
        <is>
          <t>VARCHAR</t>
        </is>
      </c>
      <c r="F80" s="13" t="inlineStr">
        <is>
          <t>P2</t>
        </is>
      </c>
      <c r="G80" s="13" t="inlineStr">
        <is>
          <t>Hold槽3详细备注</t>
        </is>
      </c>
      <c r="H80" s="13" t="inlineStr">
        <is>
          <t>自由文本</t>
        </is>
      </c>
      <c r="I80" s="49" t="inlineStr">
        <is>
          <t>自由文本</t>
        </is>
      </c>
      <c r="J80" s="49" t="inlineStr">
        <is>
          <t>—</t>
        </is>
      </c>
      <c r="K80" s="13" t="inlineStr">
        <is>
          <t>Hold面板补充说明（当前ETL未使用）</t>
        </is>
      </c>
      <c r="L80" s="132" t="inlineStr">
        <is>
          <t>N/A — Newrez 已提供但系统尚未使用（不入 BPS 同步表）</t>
        </is>
      </c>
      <c r="M80" s="7" t="inlineStr">
        <is>
          <t>✅ 82.1%</t>
        </is>
      </c>
      <c r="N80" s="126" t="inlineStr">
        <is>
          <t>-- 验证 hold_3_comment 取值样例（最新快照取10笔，快速查看字段的样子）
-- 源表: newrez.portnewrezfc | 运行于: mysql_dev
SELECT loanid, dataasof, fchold3comment
FROM   newrez.portnewrezfc
WHERE  dataasof = '2026-06-01'
  AND  fchold3comment IS NOT NULL AND fchold3comment != ''
LIMIT  10;</t>
        </is>
      </c>
      <c r="O80" s="68" t="inlineStr">
        <is>
          <t>[data_date 2026-06-01] Our firm is pending receipt of the original note to proceed with the foreclosure, once received we will be able to prepare complaint for verification. | Delay Reason: Pending Recording, Hold Start Date: 2026-04-24, Date of Delay: 2026-04-23, Anticipated Resolution ETA: 2026-05-01 | unable to proceed until allonge is received. RID: 862116504   | Notice of Sale sent for filing on 4/27/2026. ETA for completion of NOS posted milestone is 4/30/2026. | Pending signature required document to proceed with foreclosure action. | Unable to proceed, pending Guaranty Agreement-RID: 861370088 | Pending signature required document to proceed with foreclosure action. | Pending receipt Note Allonge requested | AOM Needed from Mortgage Electronic Registration Systems, Inc., as nominee for A&amp;D Mortgage LLC, Its Successors and Assigns To: Alic Archwest Mortgage Trust, To Proceed to Fi …</t>
        </is>
      </c>
      <c r="S80" s="124" t="inlineStr">
        <is>
          <t>-- N/A — 系统尚未使用（不入 BPS 同步表）</t>
        </is>
      </c>
      <c r="T80" s="124" t="inlineStr">
        <is>
          <t>N/A — 不映射到 BPS FCL 同步表（见左侧说明）</t>
        </is>
      </c>
    </row>
    <row r="81" ht="40" customHeight="1" s="74">
      <c r="A81" s="119" t="inlineStr">
        <is>
          <t>Section 3.1 — LM周期字段 — Loss Mitigation Cycle面板（来源：newrez.portnewrezlm）</t>
        </is>
      </c>
      <c r="B81" s="70" t="n"/>
      <c r="C81" s="70" t="n"/>
      <c r="D81" s="70" t="n"/>
      <c r="E81" s="70" t="n"/>
      <c r="F81" s="70" t="n"/>
      <c r="G81" s="70" t="n"/>
      <c r="H81" s="70" t="n"/>
      <c r="I81" s="70" t="n"/>
      <c r="J81" s="71" t="n"/>
      <c r="K81" s="2" t="n"/>
      <c r="M81" s="3" t="n"/>
    </row>
    <row r="82" ht="40" customHeight="1" s="74">
      <c r="A82" s="12" t="n">
        <v>73</v>
      </c>
      <c r="B82" s="12" t="inlineStr">
        <is>
          <t>3.1 LM周期字段 — Loss M</t>
        </is>
      </c>
      <c r="C82" s="16" t="inlineStr">
        <is>
          <t>lm_deal</t>
        </is>
      </c>
      <c r="D82" s="17" t="inlineStr">
        <is>
          <t>newrez.portnewrezlm.lmdeal</t>
        </is>
      </c>
      <c r="E82" s="12" t="inlineStr">
        <is>
          <t>INT→VARCHAR</t>
        </is>
      </c>
      <c r="F82" s="12" t="inlineStr">
        <is>
          <t>P1</t>
        </is>
      </c>
      <c r="G82" s="12" t="inlineStr">
        <is>
          <t>LM策略大类（整数编码）；ETL解码为文本：Evaluation/Modification/Short Sale/DIL等；反映本次还款宽松尝试的整体方向</t>
        </is>
      </c>
      <c r="H82" s="12" t="inlineStr">
        <is>
          <t>需ETL解码：int→文本（如7→'DIL'）；必须附解码映射表</t>
        </is>
      </c>
      <c r="I82" s="65" t="inlineStr">
        <is>
          <t>Evaluation
Modification
Forbearance
Payment Plan
Deferment
Short Sale
DIL
Payoff</t>
        </is>
      </c>
      <c r="J82" s="48" t="inlineStr">
        <is>
          <t>Modification</t>
        </is>
      </c>
      <c r="K82" s="12" t="inlineStr">
        <is>
          <t>bpms_dev.sync_loan_foreclosure_loss_mitigation.deal列</t>
        </is>
      </c>
      <c r="L82" s="131" t="inlineStr">
        <is>
          <t>整数码 lmdeal 经 portnewrezdatadic 解码为文本（如 7→DIL）→ deal</t>
        </is>
      </c>
      <c r="M82" s="7" t="inlineStr">
        <is>
          <t>✅ 整数编码（lmdeal: 1=Modification | 2=Evaluation | 4=Payment Plan | 5=Forbearance | 6=Short Sale | 7=DIL | 9=Payoff | 11=Deferment；ETL解码为文本）</t>
        </is>
      </c>
      <c r="N82" s="126" t="inlineStr">
        <is>
          <t>-- 验证 lm_deal 取值范围（整数码 → BPS 解码文本）
-- 源表: newrez.portnewrezlm JOIN bpms_dev.sync_loan_foreclosure_loss_mitigation
-- 运行于: mysql_bpms_dev（跨库 JOIN）| 详见 doc 数据字典 SQL-D1~D6
-- 快照表：CTE 取每个 LM 周期的最新快照（latest-snapshot-per-cycle）
WITH latest_lm AS (
  SELECT loanid, dealstartdate, lmdeal,
         ROW_NUMBER() OVER (PARTITION BY loanid, dealstartdate ORDER BY dataasof DESC) AS rn
  FROM newrez.portnewrezlm WHERE lmdeal IS NOT NULL AND dataasof &lt;= '2026-06-01'
)
SELECT l.lmdeal, b.deal, COUNT(*) AS cnt
FROM   latest_lm l
JOIN   bpms_dev.sync_loan_foreclosure_loss_mitigation b
  ON   l.loanid = b.loanid AND l.dealstartdate = b.cycle_opened_date
WHERE  l.rn = 1
  AND  b.deal IS NOT NULL AND b.deal != '' AND b.deal NOT REGEXP '^[0-9]'
GROUP  BY l.lmdeal, b.deal ORDER BY l.lmdeal, cnt DESC;</t>
        </is>
      </c>
      <c r="O82" s="68" t="inlineStr">
        <is>
          <t>1 Modification:194 | 1 Evaluation:2 | 2 Evaluation:104 | 4 Payment Plan:37 | 5 Forbearance:51 | 6 Short Sale:9 | 7 DIL:10 | 9 Payoff:1 | 11 Deferment:50</t>
        </is>
      </c>
      <c r="S82" s="124" t="inlineStr">
        <is>
          <t>-- 验证 BPS deal 取值（dist）— lmdeal 解码文本
-- 表: bpms.sync_loan_foreclosure_loss_mitigation | 运行于: mysql_prod（只读）
-- as-of: 业务快照 fctrdt≤2026-06-01（与 Newrez 源同日）；ETL 载入≈2026-06-03
SELECT '2026-06-01' AS data_date, `deal` AS val, COUNT(*) AS cnt
FROM   bpms.sync_loan_foreclosure_loss_mitigation
GROUP  BY `deal` ORDER BY cnt DESC;</t>
        </is>
      </c>
      <c r="T82" s="124" t="inlineStr">
        <is>
          <t>[BPS prod·数据日 fctrdt≤2026-06-01·ETL载入 2026-06-03] Modification:207 | Evaluation:115 | ∅NULL:72 | Forbearance:57 | Deferment:56 | Payment Plan:39 | Short Sale:12 | DIL:10 | Payoff:1</t>
        </is>
      </c>
    </row>
    <row r="83" ht="40" customHeight="1" s="74">
      <c r="A83" s="12" t="n">
        <v>74</v>
      </c>
      <c r="B83" s="12" t="inlineStr">
        <is>
          <t>3.1 LM周期字段 — Loss M</t>
        </is>
      </c>
      <c r="C83" s="16" t="inlineStr">
        <is>
          <t>lm_program</t>
        </is>
      </c>
      <c r="D83" s="17" t="inlineStr">
        <is>
          <t>newrez.portnewrezlm.lmprogram</t>
        </is>
      </c>
      <c r="E83" s="12" t="inlineStr">
        <is>
          <t>INT→VARCHAR</t>
        </is>
      </c>
      <c r="F83" s="12" t="inlineStr">
        <is>
          <t>P1</t>
        </is>
      </c>
      <c r="G83" s="12" t="inlineStr">
        <is>
          <t>具体执行方案（整数编码）；Deal大类内的子方案；直接决定合规和审批路径</t>
        </is>
      </c>
      <c r="H83" s="12" t="inlineStr">
        <is>
          <t>需ETL解码：int→文本（如10→'Deed-in-Lieu'）；必须附解码映射表</t>
        </is>
      </c>
      <c r="I83" s="65" t="inlineStr">
        <is>
          <t>Evaluation
Bridger mod
SLS Standard Mod
VA Traditional
Deferment
Repayment Plan 等20+种</t>
        </is>
      </c>
      <c r="J83" s="48" t="inlineStr">
        <is>
          <t>Bridger mod</t>
        </is>
      </c>
      <c r="K83" s="12" t="inlineStr">
        <is>
          <t>bpms_dev.sync_loan_foreclosure_loss_mitigation.program列</t>
        </is>
      </c>
      <c r="L83" s="131" t="inlineStr">
        <is>
          <t>整数码 lmprogram 经 portnewrezdatadic 解码为文本（如 10→Deed-in-Lieu）→ program</t>
        </is>
      </c>
      <c r="M83" s="7" t="inlineStr">
        <is>
          <t>✅ 整数编码（lmprogram: 21=Evaluation | 73=Deferment | 419=Bridger mod | 396=VA Traditional 等20+种；ETL解码为文本）</t>
        </is>
      </c>
      <c r="N83" s="126" t="inlineStr">
        <is>
          <t>-- 验证 lm_program 取值范围（整数码 → BPS 解码文本）
-- 源表: newrez.portnewrezlm JOIN bpms_dev.sync_loan_foreclosure_loss_mitigation
-- 运行于: mysql_bpms_dev（跨库 JOIN）| 详见 doc 数据字典 SQL-D1~D6
-- 快照表：CTE 取每个 LM 周期的最新快照（latest-snapshot-per-cycle）
WITH latest_lm AS (
  SELECT loanid, dealstartdate, lmprogram,
         ROW_NUMBER() OVER (PARTITION BY loanid, dealstartdate ORDER BY dataasof DESC) AS rn
  FROM newrez.portnewrezlm WHERE lmprogram IS NOT NULL AND dataasof &lt;= '2026-06-01'
)
SELECT l.lmprogram, b.program, COUNT(*) AS cnt
FROM   latest_lm l
JOIN   bpms_dev.sync_loan_foreclosure_loss_mitigation b
  ON   l.loanid = b.loanid AND l.dealstartdate = b.cycle_opened_date
WHERE  l.rn = 1
  AND  b.program IS NOT NULL AND b.program != '' AND b.program NOT REGEXP '^[0-9]'
GROUP  BY l.lmprogram, b.program ORDER BY l.lmprogram, cnt DESC;</t>
        </is>
      </c>
      <c r="O83" s="68" t="inlineStr">
        <is>
          <t>8 Short Sale:9 | 10 Deed-in-Lieu:10 | 12 Short-term Forbearance:41 | 14 Unemployment Forbearance:6 | 21 Evaluation:103 | 25 Payoff:1 | 29 Repayment Plan:37 | 73 Deferment:50 | 151 Disaster Forbearance:2 | 215 Short-term FB COVID (RETIRED 2023-11-01):2 | 240 SLS Standard Mod:26 | 273 Standard Proprietary Modification:9 | 346 FHA Recovery Mod (40yr):1 | 348 FHA Recovery SAPC:16 | 358 SLS Non-Standard Mod:1 | 364 VA 30 Year Modification:2 | 365 VA 40 Year Modification:2 | 396 VA Traditional:30 | 405 VASP No Trial:7 | 419 Bridger mod:38 | 496 Evaluation:2</t>
        </is>
      </c>
      <c r="S83" s="124" t="inlineStr">
        <is>
          <t>-- 验证 BPS program 取值（dist）— lmprogram 解码文本
-- 表: bpms.sync_loan_foreclosure_loss_mitigation | 运行于: mysql_prod（只读）
-- as-of: 业务快照 fctrdt≤2026-06-01（与 Newrez 源同日）；ETL 载入≈2026-06-03
SELECT '2026-06-01' AS data_date, `program` AS val, COUNT(*) AS cnt
FROM   bpms.sync_loan_foreclosure_loss_mitigation
GROUP  BY `program` ORDER BY cnt DESC;</t>
        </is>
      </c>
      <c r="T83" s="124" t="inlineStr">
        <is>
          <t>[BPS prod·数据日 fctrdt≤2026-06-01·ETL载入 2026-06-03] Evaluation:114 | ∅NULL:72 | Deferment:56 | 496.0:55 | Short-term Forbearance:47 | Repayment Plan:39 | Bridger mod:38 | VA Traditional:30 | SLS Standard Mod:26 | FHA Recovery SAPC:16 | 498.0:14 | Short Sale:12 | Deed-in-Lieu:10 | Standard Proprietary Modification:9 | VASP No Trial:7 | Unemployment Forbearance:6 | 499.0:4 | VA 40 Year Modification:2 | VA 30 Year Modification:2 | Disaster Forbearance:2 | Short-term FB COVID (RETIRED 2023-11-01):2 | +7 个取值各1笔(含 531.0/527.0/500.0 等未解码码):7</t>
        </is>
      </c>
    </row>
    <row r="84" ht="40" customHeight="1" s="74">
      <c r="A84" s="12" t="n">
        <v>75</v>
      </c>
      <c r="B84" s="12" t="inlineStr">
        <is>
          <t>3.1 LM周期字段 — Loss M</t>
        </is>
      </c>
      <c r="C84" s="16" t="inlineStr">
        <is>
          <t>lm_status</t>
        </is>
      </c>
      <c r="D84" s="17" t="inlineStr">
        <is>
          <t>newrez.portnewrezlm.lmstatus</t>
        </is>
      </c>
      <c r="E84" s="12" t="inlineStr">
        <is>
          <t>INT→VARCHAR</t>
        </is>
      </c>
      <c r="F84" s="12" t="inlineStr">
        <is>
          <t>P1</t>
        </is>
      </c>
      <c r="G84" s="12" t="inlineStr">
        <is>
          <t>当前LM周期的工作流进度状态（整数编码）</t>
        </is>
      </c>
      <c r="H84" s="12" t="inlineStr">
        <is>
          <t>需ETL解码：int→文本（如112→'Awaiting MI Approval'）；必须附解码映射表</t>
        </is>
      </c>
      <c r="I84" s="65" t="inlineStr">
        <is>
          <t>Workout Denial
Pending Financials
Document Follow-up
Monitor Forbearance
Book mod
Deferment Agreement Ordered
Deferment Plan In Progress
Monitor for pmts/funds
Liquidation Referral
Follow up for 1st Trial Payment
Solicitation Offered
Monitor for Mod Agreement
Follow up for 2nd Trial Payment
Countered by Supervisor
Monitor for Mod Agreement – Final Trial Payment Due
Awaiting MI Approval
DIL Sent for Recording
Negotiate DIL liens
DIL Title Ordered
Submitted for Approval
Not Assigned
Awaiting investor approval
（实测22种；字典完整域约150码，完整 code→text 见数据字典/Redshift portnewrezdatadic，状态流转见 doc 18 §4.5）</t>
        </is>
      </c>
      <c r="J84" s="48" t="inlineStr">
        <is>
          <t>Pending Financials</t>
        </is>
      </c>
      <c r="K84" s="12" t="inlineStr">
        <is>
          <t>bpms_dev.sync_loan_foreclosure_loss_mitigation.lmc_status列</t>
        </is>
      </c>
      <c r="L84" s="131" t="inlineStr">
        <is>
          <t>整数码 lmstatus 经 portnewrezdatadic 解码为文本（如 112→Workout Denial）→ lmc_status</t>
        </is>
      </c>
      <c r="M84" s="7" t="inlineStr">
        <is>
          <t>✅ 整数编码（lmstatus: 166=Pending Financials | 112=Workout Denial | 5=Document Follow-up 等20+种；ETL解码为文本）</t>
        </is>
      </c>
      <c r="N84" s="126" t="inlineStr">
        <is>
          <t>-- 验证 lm_status 取值范围（整数码 → BPS 解码文本）
-- 源表: newrez.portnewrezlm JOIN bpms_dev.sync_loan_foreclosure_loss_mitigation
-- 运行于: mysql_bpms_dev（跨库 JOIN）| 详见 doc 数据字典 SQL-D1~D6
-- 快照表：CTE 取每个 LM 周期的最新快照（latest-snapshot-per-cycle）
WITH latest_lm AS (
  SELECT loanid, dealstartdate, lmstatus,
         ROW_NUMBER() OVER (PARTITION BY loanid, dealstartdate ORDER BY dataasof DESC) AS rn
  FROM newrez.portnewrezlm WHERE lmstatus IS NOT NULL AND dataasof &lt;= '2026-06-01'
)
SELECT l.lmstatus, b.lmc_status, COUNT(*) AS cnt
FROM   latest_lm l
JOIN   bpms_dev.sync_loan_foreclosure_loss_mitigation b
  ON   l.loanid = b.loanid AND l.dealstartdate = b.cycle_opened_date
WHERE  l.rn = 1
  AND  b.lmc_status IS NOT NULL AND b.lmc_status != '' AND b.lmc_status NOT REGEXP '^[0-9]'
GROUP  BY l.lmstatus, b.lmc_status ORDER BY l.lmstatus, cnt DESC;</t>
        </is>
      </c>
      <c r="O84" s="68" t="inlineStr">
        <is>
          <t>5 Document Follow-up:72 | 13 Follow up for 1st Trial Payment:4 | 13 Pending Financials :1 | 20 Book mod:24 | 20 Follow up for 2nd Trial Payment:2 | 20 Follow up for 1st Trial Payment:1 | 20 Monitor for Mod Agreement – Final Trial Payment Due:1 | 24 Awaiting investor approval:1 | 25 Monitor for pmts/funds:9 | 25 Submitted for Approval:1 | 45 Countered by Supervisor:2 | 47 Monitor for Mod Agreement:3 | 112 Workout Denial:144 | 112 Document Follow-up:1 | 112 Awaiting MI Approval:1 | 112 Monitor for pmts/funds:1 | 112 Pending Financials :1 | 113 Monitor Forbearance:27 | 116 Not Assigned:1 | 126 DIL Title Ordered:1 | 127 Negotiate DIL liens:1 | 135 DIL Sent for Recording:1 | 139 Deferment Plan In Progress:11 | 140 Deferment Agreement Ordered:21 | 166 Pending Financials :113 | 172 Liquidation Referral:7 | 186 Follow up for 1st Trial Payment:1 | 186 Monitor for Mod Agreement – Final Trial Payme …</t>
        </is>
      </c>
      <c r="S84" s="124" t="inlineStr">
        <is>
          <t>-- 验证 BPS lmc_status 取值（dist）— lmstatus 解码文本
-- 表: bpms.sync_loan_foreclosure_loss_mitigation | 运行于: mysql_prod（只读）
-- as-of: 业务快照 fctrdt≤2026-06-01（与 Newrez 源同日）；ETL 载入≈2026-06-03
SELECT '2026-06-01' AS data_date, `lmc_status` AS val, COUNT(*) AS cnt
FROM   bpms.sync_loan_foreclosure_loss_mitigation
GROUP  BY `lmc_status` ORDER BY cnt DESC;</t>
        </is>
      </c>
      <c r="T84" s="124" t="inlineStr">
        <is>
          <t>[BPS prod·数据日 fctrdt≤2026-06-01·ETL载入 2026-06-03] Workout Denial:160 | Pending Financials :127 | Document Follow-up:74 | ∅NULL:72 | Monitor Forbearance:31 | Book mod:28 | Deferment Agreement Ordered:23 | Deferment Plan In Progress:13 | Monitor for pmts/funds:10 | Liquidation Referral:8 | Follow up for 1st Trial Payment:5 | Solicitation Offered:4 | Monitor for Mod Agreement:3 | +9 个取值≤2笔:14</t>
        </is>
      </c>
    </row>
    <row r="85" ht="40" customHeight="1" s="74">
      <c r="A85" s="12" t="n">
        <v>76</v>
      </c>
      <c r="B85" s="12" t="inlineStr">
        <is>
          <t>3.1 LM周期字段 — Loss M</t>
        </is>
      </c>
      <c r="C85" s="16" t="inlineStr">
        <is>
          <t>lm_cycle_open_date</t>
        </is>
      </c>
      <c r="D85" s="17" t="inlineStr">
        <is>
          <t>newrez.portnewrezlm.dealstartdate</t>
        </is>
      </c>
      <c r="E85" s="12" t="inlineStr">
        <is>
          <t>DATE</t>
        </is>
      </c>
      <c r="F85" s="12" t="inlineStr">
        <is>
          <t>P1</t>
        </is>
      </c>
      <c r="G85" s="12" t="inlineStr">
        <is>
          <t>本次LM周期开始日；与lm_deal共同构成唯一标识</t>
        </is>
      </c>
      <c r="H85" s="12" t="inlineStr">
        <is>
          <t>YYYY-MM-DD</t>
        </is>
      </c>
      <c r="I85" s="48" t="inlineStr">
        <is>
          <t>YYYY-MM-DD</t>
        </is>
      </c>
      <c r="J85" s="48" t="inlineStr">
        <is>
          <t>2024-01-15</t>
        </is>
      </c>
      <c r="K85" s="12" t="inlineStr">
        <is>
          <t>bpms_dev.sync_loan_foreclosure_loss_mitigation.cycle_opened_date</t>
        </is>
      </c>
      <c r="L85" s="131" t="inlineStr">
        <is>
          <t>直接取值（dealstartdate → cycle_opened_date）</t>
        </is>
      </c>
      <c r="M85" s="7" t="inlineStr">
        <is>
          <t>✅ 已提供</t>
        </is>
      </c>
      <c r="N85" s="126" t="inlineStr">
        <is>
          <t>-- 验证 lm_cycle_open_date 取值样例（最新快照取10笔，快速查看字段的样子）
-- 源表: newrez.portnewrezlm | 运行于: mysql_dev
SELECT loanid, dataasof, dealstartdate
FROM   newrez.portnewrezlm
WHERE  dataasof = '2026-06-01'
  AND  dealstartdate IS NOT NULL
LIMIT  10;</t>
        </is>
      </c>
      <c r="O85" s="68" t="inlineStr">
        <is>
          <t>[data_date 2026-06-01] 2025-09-18 | 2026-04-28 | 2026-03-06 | 2025-07-18 | 2025-05-23 | 2025-09-19 | 2025-11-05 | 2025-12-10 | 2026-02-25 | 2026-03-31（10笔）</t>
        </is>
      </c>
      <c r="S85" s="124" t="inlineStr">
        <is>
          <t>-- 验证 BPS cycle_opened_date 取值（date）
-- 表: bpms.sync_loan_foreclosure_loss_mitigation | 运行于: mysql_prod（只读）
-- as-of: 业务快照 fctrdt≤2026-06-01（与 Newrez 源同日）；ETL 载入≈2026-06-03
SELECT '2026-06-01' AS data_date, COUNT(*) AS total, COUNT(`cycle_opened_date`) AS non_null,
       MIN(`cycle_opened_date`) AS min_dt, MAX(`cycle_opened_date`) AS max_dt
FROM   bpms.sync_loan_foreclosure_loss_mitigation;</t>
        </is>
      </c>
      <c r="T85" s="124" t="inlineStr">
        <is>
          <t>[BPS prod·数据日 fctrdt≤2026-06-01·ETL载入 2026-06-03] 非空 568/569 · 区间 2020-08-17~2026-06-01</t>
        </is>
      </c>
    </row>
    <row r="86" ht="40" customHeight="1" s="74">
      <c r="A86" s="12" t="n">
        <v>77</v>
      </c>
      <c r="B86" s="12" t="inlineStr">
        <is>
          <t>3.1 LM周期字段 — Loss M</t>
        </is>
      </c>
      <c r="C86" s="16" t="inlineStr">
        <is>
          <t>lm_cycle_close_date</t>
        </is>
      </c>
      <c r="D86" s="17" t="inlineStr">
        <is>
          <t>newrez.portnewrezlm.lmremovaldate</t>
        </is>
      </c>
      <c r="E86" s="12" t="inlineStr">
        <is>
          <t>DATE</t>
        </is>
      </c>
      <c r="F86" s="12" t="inlineStr">
        <is>
          <t>P1</t>
        </is>
      </c>
      <c r="G86" s="12" t="inlineStr">
        <is>
          <t>本次LM周期结束日；NULL=仍在进行中</t>
        </is>
      </c>
      <c r="H86" s="12" t="inlineStr">
        <is>
          <t>YYYY-MM-DD；NULL=仍活跃</t>
        </is>
      </c>
      <c r="I86" s="48" t="inlineStr">
        <is>
          <t>YYYY-MM-DD（空=进行中）</t>
        </is>
      </c>
      <c r="J86" s="48" t="inlineStr">
        <is>
          <t>2024-03-15</t>
        </is>
      </c>
      <c r="K86" s="12" t="inlineStr">
        <is>
          <t>bpms_dev.sync_loan_foreclosure_loss_mitigation.cycle_closed_date</t>
        </is>
      </c>
      <c r="L86" s="131" t="inlineStr">
        <is>
          <t>直接取值（lmremovaldate → cycle_closed_date；NULL=进行中）</t>
        </is>
      </c>
      <c r="M86" s="7" t="inlineStr">
        <is>
          <t>✅ 已提供</t>
        </is>
      </c>
      <c r="N86" s="126" t="inlineStr">
        <is>
          <t>-- 验证 lm_cycle_close_date 取值样例（最新快照取10笔，快速查看字段的样子）
-- 源表: newrez.portnewrezlm | 运行于: mysql_dev
SELECT loanid, dataasof, lmremovaldate
FROM   newrez.portnewrezlm
WHERE  dataasof = '2026-06-01'
  AND  lmremovaldate IS NOT NULL
LIMIT  10;</t>
        </is>
      </c>
      <c r="O86" s="68" t="inlineStr">
        <is>
          <t>[data_date 2026-06-01] 2025-11-07 | 2026-05-03 | 2026-05-08 | 2026-05-20 | 2025-12-03 | 2026-05-07 | 2026-05-01 | 2025-09-08 | 2025-05-27 | 2025-09-29（10笔）</t>
        </is>
      </c>
      <c r="S86" s="124" t="inlineStr">
        <is>
          <t>-- 验证 BPS cycle_closed_date 取值（date）— NULL=进行中
-- 表: bpms.sync_loan_foreclosure_loss_mitigation | 运行于: mysql_prod（只读）
-- as-of: 业务快照 fctrdt≤2026-06-01（与 Newrez 源同日）；ETL 载入≈2026-06-03
SELECT '2026-06-01' AS data_date, COUNT(*) AS total, COUNT(`cycle_closed_date`) AS non_null,
       MIN(`cycle_closed_date`) AS min_dt, MAX(`cycle_closed_date`) AS max_dt
FROM   bpms.sync_loan_foreclosure_loss_mitigation;</t>
        </is>
      </c>
      <c r="T86" s="124" t="inlineStr">
        <is>
          <t>[BPS prod·数据日 fctrdt≤2026-06-01·ETL载入 2026-06-03] 非空 511/569 · 区间 2020-09-22~2026-06-01</t>
        </is>
      </c>
    </row>
    <row r="87" ht="40" customHeight="1" s="74">
      <c r="A87" s="12" t="n">
        <v>78</v>
      </c>
      <c r="B87" s="12" t="inlineStr">
        <is>
          <t>3.1 LM周期字段 — Loss M</t>
        </is>
      </c>
      <c r="C87" s="16" t="inlineStr">
        <is>
          <t>lm_final_disposition</t>
        </is>
      </c>
      <c r="D87" s="17" t="inlineStr">
        <is>
          <t>newrez.portnewrezlm.lmdecision</t>
        </is>
      </c>
      <c r="E87" s="12" t="inlineStr">
        <is>
          <t>INT→VARCHAR</t>
        </is>
      </c>
      <c r="F87" s="12" t="inlineStr">
        <is>
          <t>P1</t>
        </is>
      </c>
      <c r="G87" s="12" t="inlineStr">
        <is>
          <t>本次LM周期最终结论；直接决定FCL走向：'Referral to FC'→FCL继续；'Approved'→FCL暂停</t>
        </is>
      </c>
      <c r="H87" s="12" t="inlineStr">
        <is>
          <t>需ETL解码：int→文本；必须附解码映射表</t>
        </is>
      </c>
      <c r="I87" s="65" t="inlineStr">
        <is>
          <t>Pending
Modification Complete
Referral to FC
Request Incomplete
LMS Opened in Error
Forbearance Complete
Reinstated/Current
Deferment Completed
Full Pay Off
DIL Complete 等</t>
        </is>
      </c>
      <c r="J87" s="48" t="inlineStr">
        <is>
          <t>Referral to FC</t>
        </is>
      </c>
      <c r="K87" s="12" t="inlineStr">
        <is>
          <t>bpms_dev.sync_loan_foreclosure_loss_mitigation.final_disposition列</t>
        </is>
      </c>
      <c r="L87" s="131" t="inlineStr">
        <is>
          <t>整数码 lmdecision 经 portnewrezdatadic 解码为文本（如 6→Referral to FC）→ final_disposition</t>
        </is>
      </c>
      <c r="M87" s="7" t="inlineStr">
        <is>
          <t>✅ 整数编码（lmdecision: 99=Pending | 6=Referral to FC | 10=Request Incomplete | 11=LMS Opened in Error 等；ETL解码）</t>
        </is>
      </c>
      <c r="N87" s="126" t="inlineStr">
        <is>
          <t>-- 验证 lm_final_disposition 取值范围（整数码 → BPS 解码文本）
-- 源表: newrez.portnewrezlm JOIN bpms_dev.sync_loan_foreclosure_loss_mitigation
-- 运行于: mysql_bpms_dev（跨库 JOIN）| 详见 doc 数据字典 SQL-D1~D6
-- 快照表：CTE 取每个 LM 周期的最新快照（latest-snapshot-per-cycle）
WITH latest_lm AS (
  SELECT loanid, dealstartdate, lmdecision,
         ROW_NUMBER() OVER (PARTITION BY loanid, dealstartdate ORDER BY dataasof DESC) AS rn
  FROM newrez.portnewrezlm WHERE lmdecision IS NOT NULL AND dataasof &lt;= '2026-06-01'
)
SELECT l.lmdecision, b.final_disposition, COUNT(*) AS cnt
FROM   latest_lm l
JOIN   bpms_dev.sync_loan_foreclosure_loss_mitigation b
  ON   l.loanid = b.loanid AND l.dealstartdate = b.cycle_opened_date
WHERE  l.rn = 1
  AND  b.final_disposition IS NOT NULL AND b.final_disposition != '' AND b.final_disposition NOT REGEXP '^[0-9]'
GROUP  BY l.lmdecision, b.final_disposition ORDER BY l.lmdecision, cnt DESC;</t>
        </is>
      </c>
      <c r="O87" s="68" t="inlineStr">
        <is>
          <t>1 Modification Complete:15 | 1 Pending:2 | 3 DIL Complete:1 | 4 Forbearance Complete:16 | 4 Pending:2 | 5 Reinstated/Current:32 | 5 Pending:2 | 5 Request Incomplete/Failed to Provide Information:1 | 6 Referral to FC:110 | 6 Pending:4 | 7 Not Eligible for Loss Mitigation:7 | 10 Request Incomplete/Failed to Provide Information:94 | 10 Pending:4 | 11 LMS Opened in Error:52 | 14 Deferment Completed:30 | 17 Full Pay Off:7 | 18 FC Sale Held:2 | 99 Pending:77</t>
        </is>
      </c>
      <c r="S87" s="124" t="inlineStr">
        <is>
          <t>-- 验证 BPS final_disposition 取值（dist）— lmdecision 解码文本
-- 表: bpms.sync_loan_foreclosure_loss_mitigation | 运行于: mysql_prod（只读）
-- as-of: 业务快照 fctrdt≤2026-06-01（与 Newrez 源同日）；ETL 载入≈2026-06-03
SELECT '2026-06-01' AS data_date, `final_disposition` AS val, COUNT(*) AS cnt
FROM   bpms.sync_loan_foreclosure_loss_mitigation
GROUP  BY `final_disposition` ORDER BY cnt DESC;</t>
        </is>
      </c>
      <c r="T87" s="124" t="inlineStr">
        <is>
          <t>[BPS prod·数据日 fctrdt≤2026-06-01·ETL载入 2026-06-03] Referral to FC:123 | Request Incomplete/Failed to Provide Information:102 | Pending:97 | ∅NULL:72 | LMS Opened in Error:53 | Reinstated/Current:36 | Deferment Completed:33 | Forbearance Complete:19 | Modification Complete:17 | Not Eligible for Loss Mitigation:7 | Full Pay Off:7 | FC Sale Held:2 | DIL Complete:1</t>
        </is>
      </c>
    </row>
    <row r="88" ht="40" customHeight="1" s="74">
      <c r="A88" s="12" t="n">
        <v>79</v>
      </c>
      <c r="B88" s="12" t="inlineStr">
        <is>
          <t>3.1 LM周期字段 — Loss M</t>
        </is>
      </c>
      <c r="C88" s="16" t="inlineStr">
        <is>
          <t>lm_denial_reason</t>
        </is>
      </c>
      <c r="D88" s="17" t="inlineStr">
        <is>
          <t>newrez.portnewrezlm.denialreason</t>
        </is>
      </c>
      <c r="E88" s="12" t="inlineStr">
        <is>
          <t>INT→VARCHAR</t>
        </is>
      </c>
      <c r="F88" s="12" t="inlineStr">
        <is>
          <t>P1</t>
        </is>
      </c>
      <c r="G88" s="12" t="inlineStr">
        <is>
          <t>LM被拒绝的具体原因（整数编码）；无拒绝时为空字符串（非NULL）</t>
        </is>
      </c>
      <c r="H88" s="12" t="inlineStr">
        <is>
          <t>需ETL解码；无拒绝时提供空字符串</t>
        </is>
      </c>
      <c r="I88" s="65" t="inlineStr">
        <is>
          <t>Loan not due 3+ months
Withdrawal
Ineligible Borrower
Request Incomplete
Failed Plan 等18种</t>
        </is>
      </c>
      <c r="J88" s="48" t="inlineStr">
        <is>
          <t>Withdrawal of Request/Non-Acceptance</t>
        </is>
      </c>
      <c r="K88" s="12" t="inlineStr">
        <is>
          <t>bpms_dev.sync_loan_foreclosure_loss_mitigation.denialreason列</t>
        </is>
      </c>
      <c r="L88" s="131" t="inlineStr">
        <is>
          <t>整数码 denialreason 经 portnewrezdatadic 解码为文本（无拒绝为空）</t>
        </is>
      </c>
      <c r="M88" s="7" t="inlineStr">
        <is>
          <t>✅ 整数编码（denialreason: 109=Loan not due 3+ months | 4=Withdrawal | 6=Ineligible 等18种；ETL解码）</t>
        </is>
      </c>
      <c r="N88" s="126" t="inlineStr">
        <is>
          <t>-- 验证 lm_denial_reason 取值范围（整数码 → BPS 解码文本）
-- 源表: newrez.portnewrezlm JOIN bpms_dev.sync_loan_foreclosure_loss_mitigation
-- 运行于: mysql_bpms_dev（跨库 JOIN）| 详见 doc 数据字典 SQL-D1~D6
-- 快照表：CTE 取每个 LM 周期的最新快照（latest-snapshot-per-cycle）
WITH latest_lm AS (
  SELECT loanid, dealstartdate, denialreason,
         ROW_NUMBER() OVER (PARTITION BY loanid, dealstartdate ORDER BY dataasof DESC) AS rn
  FROM newrez.portnewrezlm WHERE denialreason IS NOT NULL AND dataasof &lt;= '2026-06-01'
)
SELECT l.denialreason, b.denialreason, COUNT(*) AS cnt
FROM   latest_lm l
JOIN   bpms_dev.sync_loan_foreclosure_loss_mitigation b
  ON   l.loanid = b.loanid AND l.dealstartdate = b.cycle_opened_date
WHERE  l.rn = 1 AND l.denialreason != 0
  AND  b.denialreason IS NOT NULL AND b.denialreason != '' AND b.denialreason NOT REGEXP '^[0-9]'
GROUP  BY l.denialreason, b.denialreason ORDER BY l.denialreason, cnt DESC;</t>
        </is>
      </c>
      <c r="O88" s="68" t="inlineStr">
        <is>
          <t>2 Trial Plan Default:3 | 4 Withdrawal of Request/Non-Acceptance:12 | 6 Ineligible Borrower:1 | 9 Investor Not Participating:5 | 11 Default Not Imminent:1 | 20 Title Exceptions:1 | 21 Request Incomplete/Failed to Provide Documentation:22 | 30 Failed Plan:5 | 32 HDTI out of range:2 | 34 Ineligible Borrower: Not a Natural Person:1 | 50 Request Withdrawn Before Offer:1 | 53 Prev Denial – No Chg in Circumstance:1 | 59 Pre-Mod HDTI &lt; 31%:1 | 75 Declined Mod Review in favor of SS/DIL:1 | 76 HAMP Sunset:15 | 78 Buyer walked (SS):1 | 86 Request Withdrawn:2 | 95 Loan not eligible for deferment:1 | 101 Required Payment Returned / Not Received:1 | 108 Unable to achieve target payment:9 | 109 Loan not due for 3 or more monthly payments:25 | 115 Post-Mod P&amp;I Payment &gt; Current P&amp;I Payment:4 | 118 Loan not 90+ DPD :5 | 122 DTI out of range for Deferment:1 | 124 Hardship not resolved:6</t>
        </is>
      </c>
      <c r="S88" s="124" t="inlineStr">
        <is>
          <t>-- 验证 BPS denialreason 取值（dist）— denialreason 解码文本
-- 表: bpms.sync_loan_foreclosure_loss_mitigation | 运行于: mysql_prod（只读）
-- as-of: 业务快照 fctrdt≤2026-06-01（与 Newrez 源同日）；ETL 载入≈2026-06-03
SELECT '2026-06-01' AS data_date, `denialreason` AS val, COUNT(*) AS cnt
FROM   bpms.sync_loan_foreclosure_loss_mitigation
GROUP  BY `denialreason` ORDER BY cnt DESC;</t>
        </is>
      </c>
      <c r="T88" s="124" t="inlineStr">
        <is>
          <t>[BPS prod·数据日 fctrdt≤2026-06-01·ETL载入 2026-06-03] (空串):351 | ∅NULL:72 | Request Incomplete/Failed to Provide Documentation:28 | Loan not due for 3 or more monthly payments:25 | HAMP Sunset:16 | Withdrawal of Request/Non-Acceptance:15 | Unable to achieve target payment:9 | Hardship not resolved:7 | Investor Not Participating:6 | Failed Plan:5 | Loan not 90+ DPD :5 | Post-Mod P&amp;I Payment &gt; Current P&amp;I Payment:4 | Trial Plan Default:4 | HDTI out of range:3 | 145.0(未解码码):1 | +18 个取值各1笔:18</t>
        </is>
      </c>
    </row>
    <row r="89" ht="40" customHeight="1" s="74">
      <c r="A89" s="13" t="n">
        <v>80</v>
      </c>
      <c r="B89" s="13" t="inlineStr">
        <is>
          <t>3.1 LM周期字段 — Loss M</t>
        </is>
      </c>
      <c r="C89" s="19" t="inlineStr">
        <is>
          <t>borrower_intentions</t>
        </is>
      </c>
      <c r="D89" s="20" t="inlineStr">
        <is>
          <t>newrez.portnewrezlm.borrowerintention</t>
        </is>
      </c>
      <c r="E89" s="13" t="inlineStr">
        <is>
          <t>INT→VARCHAR</t>
        </is>
      </c>
      <c r="F89" s="13" t="inlineStr">
        <is>
          <t>P2</t>
        </is>
      </c>
      <c r="G89" s="13" t="inlineStr">
        <is>
          <t>借款人声明的处置意向（整数编码）；如保留房产/短售/产权代替；CFPB Reg X相关</t>
        </is>
      </c>
      <c r="H89" s="13" t="inlineStr">
        <is>
          <t>需ETL解码</t>
        </is>
      </c>
      <c r="I89" s="49" t="inlineStr">
        <is>
          <t>Unknown | Retention | Disposition</t>
        </is>
      </c>
      <c r="J89" s="49" t="inlineStr">
        <is>
          <t>Retention</t>
        </is>
      </c>
      <c r="K89" s="13" t="inlineStr">
        <is>
          <t>bpms_dev.sync_loan_foreclosure_loss_mitigation.borrower_intentions（CFPB Reg X）</t>
        </is>
      </c>
      <c r="L89" s="132" t="inlineStr">
        <is>
          <t>整数码 borrowerintention 经 portnewrezdatadic 解码为文本（Newrez 通常空）</t>
        </is>
      </c>
      <c r="M89" s="6" t="inlineStr">
        <is>
          <t>✅ 整数编码（borrowerintention: 1=Unknown | 2=Retention | 3=Disposition；SQL-D6实测）</t>
        </is>
      </c>
      <c r="N89" s="120" t="inlineStr">
        <is>
          <t>-- 验证 borrower_intentions 取值范围（整数码 → BPS 解码文本）
-- 源表: newrez.portnewrezlm JOIN bpms_dev.sync_loan_foreclosure_loss_mitigation
-- 运行于: mysql_bpms_dev（跨库 JOIN）| 详见 doc 数据字典 SQL-D1~D6
-- 快照表：CTE 取每个 LM 周期的最新快照（latest-snapshot-per-cycle）
WITH latest_lm AS (
  SELECT loanid, dealstartdate, borrowerintention,
         ROW_NUMBER() OVER (PARTITION BY loanid, dealstartdate ORDER BY dataasof DESC) AS rn
  FROM newrez.portnewrezlm WHERE borrowerintention IS NOT NULL AND dataasof &lt;= '2026-06-01'
)
SELECT l.borrowerintention, b.borrower_intentions, COUNT(*) AS cnt
FROM   latest_lm l
JOIN   bpms_dev.sync_loan_foreclosure_loss_mitigation b
  ON   l.loanid = b.loanid AND l.dealstartdate = b.cycle_opened_date
WHERE  l.rn = 1 AND l.borrowerintention != 0
  AND  b.borrower_intentions IS NOT NULL AND b.borrower_intentions != '' AND b.borrower_intentions NOT REGEXP '^[0-9]'
GROUP  BY l.borrowerintention, b.borrower_intentions ORDER BY l.borrowerintention, cnt DESC;</t>
        </is>
      </c>
      <c r="O89" s="68" t="inlineStr">
        <is>
          <t>1 Unknown:1 | 2 Retention:47 | 3 Disposition:4</t>
        </is>
      </c>
      <c r="S89" s="124" t="inlineStr">
        <is>
          <t>-- 验证 BPS borrower_intentions 取值（dist）— borrowerintention 解码文本
-- 表: bpms.sync_loan_foreclosure_loss_mitigation | 运行于: mysql_prod（只读）
-- as-of: 业务快照 fctrdt≤2026-06-01（与 Newrez 源同日）；ETL 载入≈2026-06-03
SELECT '2026-06-01' AS data_date, `borrower_intentions` AS val, COUNT(*) AS cnt
FROM   bpms.sync_loan_foreclosure_loss_mitigation
GROUP  BY `borrower_intentions` ORDER BY cnt DESC;</t>
        </is>
      </c>
      <c r="T89" s="124" t="inlineStr">
        <is>
          <t>[BPS prod·数据日 fctrdt≤2026-06-01·ETL载入 2026-06-03] (空串):442 | ∅NULL:72 | Retention:49 | Disposition:5 | Unknown:1</t>
        </is>
      </c>
    </row>
    <row r="90" ht="40" customHeight="1" s="74">
      <c r="A90" s="13" t="n">
        <v>81</v>
      </c>
      <c r="B90" s="13" t="inlineStr">
        <is>
          <t>3.1 LM周期字段 — Loss M</t>
        </is>
      </c>
      <c r="C90" s="19" t="inlineStr">
        <is>
          <t>imminent_default</t>
        </is>
      </c>
      <c r="D90" s="20" t="inlineStr">
        <is>
          <t>— (无对应字段)</t>
        </is>
      </c>
      <c r="E90" s="13" t="inlineStr">
        <is>
          <t>VARCHAR</t>
        </is>
      </c>
      <c r="F90" s="13" t="inlineStr">
        <is>
          <t>P2</t>
        </is>
      </c>
      <c r="G90" s="13" t="inlineStr">
        <is>
          <t>CFPB Reg X 12 CFR 1024.41要求的即将违约标志；标记尚未逾期但面临可预见还款困难的借款人</t>
        </is>
      </c>
      <c r="H90" s="13" t="inlineStr">
        <is>
          <t>CFPB Reg X触发条件文本</t>
        </is>
      </c>
      <c r="I90" s="49" t="inlineStr">
        <is>
          <t>CFPB Reg X标准值</t>
        </is>
      </c>
      <c r="J90" s="49" t="inlineStr">
        <is>
          <t>—</t>
        </is>
      </c>
      <c r="K90" s="13" t="inlineStr">
        <is>
          <t>bpms_dev.sync_loan_foreclosure_loss_mitigation.imminent_default（CFPB Reg X）</t>
        </is>
      </c>
      <c r="L90" s="132" t="inlineStr">
        <is>
          <t>N/A — 对 Newrez 恒 NULL（BPS 列存在但 Newrez 链路不填）</t>
        </is>
      </c>
      <c r="M90" s="6" t="inlineStr">
        <is>
          <t>❌ 0% (Newrez未提供，见doc 13 Q6)</t>
        </is>
      </c>
      <c r="N90" s="120" t="inlineStr">
        <is>
          <t>-- N/A — Newrez未提供（无可验证源）</t>
        </is>
      </c>
      <c r="O90" s="68" t="inlineStr">
        <is>
          <t>N/A（无可验证源）</t>
        </is>
      </c>
      <c r="S90" s="124" t="inlineStr">
        <is>
          <t>-- 验证 BPS imminent_default 取值（dist）— 对 Newrez 预期恒空
-- 表: bpms.sync_loan_foreclosure_loss_mitigation | 运行于: mysql_prod（只读）
-- as-of: 业务快照 fctrdt≤2026-06-01（与 Newrez 源同日）；ETL 载入≈2026-06-03
SELECT '2026-06-01' AS data_date, `imminent_default` AS val, COUNT(*) AS cnt
FROM   bpms.sync_loan_foreclosure_loss_mitigation
GROUP  BY `imminent_default` ORDER BY cnt DESC;</t>
        </is>
      </c>
      <c r="T90" s="124" t="inlineStr">
        <is>
          <t>[BPS prod·数据日 fctrdt≤2026-06-01·ETL载入 2026-06-03] ∅NULL:569</t>
        </is>
      </c>
    </row>
    <row r="91" ht="18" customHeight="1" s="74">
      <c r="A91" s="13" t="n">
        <v>82</v>
      </c>
      <c r="B91" s="13" t="inlineStr">
        <is>
          <t>3.1 LM周期字段 — Loss M</t>
        </is>
      </c>
      <c r="C91" s="19" t="inlineStr">
        <is>
          <t>single_point_of_contact</t>
        </is>
      </c>
      <c r="D91" s="20" t="inlineStr">
        <is>
          <t>— (无对应字段)</t>
        </is>
      </c>
      <c r="E91" s="13" t="inlineStr">
        <is>
          <t>VARCHAR</t>
        </is>
      </c>
      <c r="F91" s="13" t="inlineStr">
        <is>
          <t>P2</t>
        </is>
      </c>
      <c r="G91" s="13" t="inlineStr">
        <is>
          <t>CFPB Reg X 12 CFR 1024.40要求：在LM过程中贷款方必须为借款人指定唯一专属联络员</t>
        </is>
      </c>
      <c r="H91" s="13" t="inlineStr">
        <is>
          <t>CFPB Reg X专属联络员姓名/ID</t>
        </is>
      </c>
      <c r="I91" s="49" t="inlineStr">
        <is>
          <t>联系人姓名或工号</t>
        </is>
      </c>
      <c r="J91" s="49" t="inlineStr">
        <is>
          <t>—</t>
        </is>
      </c>
      <c r="K91" s="13" t="inlineStr">
        <is>
          <t>bpms_dev.sync_loan_foreclosure_loss_mitigation.single_point_of_contact（CFPB Reg X）</t>
        </is>
      </c>
      <c r="L91" s="132" t="inlineStr">
        <is>
          <t>N/A — 对 Newrez 恒 NULL（BPS 列存在但 Newrez 链路不填）</t>
        </is>
      </c>
      <c r="M91" s="6" t="inlineStr">
        <is>
          <t>❌ 0% (Newrez未提供，见doc 13 Q6)</t>
        </is>
      </c>
      <c r="N91" s="120" t="inlineStr">
        <is>
          <t>-- N/A — Newrez未提供（无可验证源）</t>
        </is>
      </c>
      <c r="O91" s="68" t="inlineStr">
        <is>
          <t>N/A（无可验证源）</t>
        </is>
      </c>
      <c r="S91" s="124" t="inlineStr">
        <is>
          <t>-- 验证 BPS single_point_of_contact 取值（dist）— 对 Newrez 预期恒空
-- 表: bpms.sync_loan_foreclosure_loss_mitigation | 运行于: mysql_prod（只读）
-- as-of: 业务快照 fctrdt≤2026-06-01（与 Newrez 源同日）；ETL 载入≈2026-06-03
SELECT '2026-06-01' AS data_date, `single_point_of_contact` AS val, COUNT(*) AS cnt
FROM   bpms.sync_loan_foreclosure_loss_mitigation
GROUP  BY `single_point_of_contact` ORDER BY cnt DESC;</t>
        </is>
      </c>
      <c r="T91" s="124" t="inlineStr">
        <is>
          <t>[BPS prod·数据日 fctrdt≤2026-06-01·ETL载入 2026-06-03] ∅NULL:569</t>
        </is>
      </c>
    </row>
    <row r="92" ht="40" customHeight="1" s="74">
      <c r="A92" s="119" t="inlineStr">
        <is>
          <t>Section 4.1 — 破产字段 — Bankruptcy面板（来源：newrez.portnewrezbk）</t>
        </is>
      </c>
      <c r="B92" s="70" t="n"/>
      <c r="C92" s="70" t="n"/>
      <c r="D92" s="70" t="n"/>
      <c r="E92" s="70" t="n"/>
      <c r="F92" s="70" t="n"/>
      <c r="G92" s="70" t="n"/>
      <c r="H92" s="70" t="n"/>
      <c r="I92" s="70" t="n"/>
      <c r="J92" s="71" t="n"/>
      <c r="K92" s="2" t="n"/>
      <c r="M92" s="3" t="n"/>
    </row>
    <row r="93" ht="40" customHeight="1" s="74">
      <c r="A93" s="12" t="n">
        <v>83</v>
      </c>
      <c r="B93" s="12" t="inlineStr">
        <is>
          <t>4.1 破产字段 — Bankrupt</t>
        </is>
      </c>
      <c r="C93" s="16" t="inlineStr">
        <is>
          <t>active_bk_flag</t>
        </is>
      </c>
      <c r="D93" s="17" t="inlineStr">
        <is>
          <t>newrez.portnewrezbk.activebkflag</t>
        </is>
      </c>
      <c r="E93" s="12" t="inlineStr">
        <is>
          <t>TINYINT</t>
        </is>
      </c>
      <c r="F93" s="12" t="inlineStr">
        <is>
          <t>P1</t>
        </is>
      </c>
      <c r="G93" s="12" t="inlineStr">
        <is>
          <t>贷款是否当前处于活跃破产保护（自动中止令）下；FCL在自动中止令期间必须依法暂停</t>
        </is>
      </c>
      <c r="H93" s="12" t="inlineStr">
        <is>
          <t>0 / 1</t>
        </is>
      </c>
      <c r="I93" s="48" t="inlineStr">
        <is>
          <t>0 / 1</t>
        </is>
      </c>
      <c r="J93" s="48" t="inlineStr">
        <is>
          <t>1</t>
        </is>
      </c>
      <c r="K93" s="12" t="inlineStr">
        <is>
          <t>bpms_dev.sync_loan_foreclosure.variance_active_bankruptcy</t>
        </is>
      </c>
      <c r="L93" s="131" t="inlineStr">
        <is>
          <t>N/A — BK 表无 active flag；破产存在性 = 有行</t>
        </is>
      </c>
      <c r="M93" s="7" t="inlineStr">
        <is>
          <t>✅ 已提供</t>
        </is>
      </c>
      <c r="N93" s="126" t="inlineStr">
        <is>
          <t>-- 验证 active_bk_flag 取值范围
-- 源表: newrez.portnewrezbk | 运行于: mysql_dev
-- 快照表：已固定 dataasof='2026-06-01' 过滤（与 BPS 数据日对齐，复跑结果不变；计数=该日真实贷款分布，非全历史快照行数）
SELECT dataasof AS data_date, activebkflag, COUNT(*) AS cnt
FROM   newrez.portnewrezbk
WHERE  dataasof = '2026-06-01'
GROUP  BY dataasof, activebkflag ORDER BY cnt DESC;</t>
        </is>
      </c>
      <c r="O93" s="68" t="inlineStr">
        <is>
          <t>[data_date 2026-06-01] 0:5039 | 1:13</t>
        </is>
      </c>
      <c r="S93" s="124" t="inlineStr">
        <is>
          <t>-- N/A — BK 表无 active flag；存在性=有行</t>
        </is>
      </c>
      <c r="T93" s="124" t="inlineStr">
        <is>
          <t>N/A — 不映射到 BPS FCL 同步表（见左侧说明）</t>
        </is>
      </c>
    </row>
    <row r="94" ht="40" customHeight="1" s="74">
      <c r="A94" s="12" t="n">
        <v>84</v>
      </c>
      <c r="B94" s="12" t="inlineStr">
        <is>
          <t>4.1 破产字段 — Bankrupt</t>
        </is>
      </c>
      <c r="C94" s="16" t="inlineStr">
        <is>
          <t>bk_status</t>
        </is>
      </c>
      <c r="D94" s="17" t="inlineStr">
        <is>
          <t>newrez.portnewrezbk.bkstatus</t>
        </is>
      </c>
      <c r="E94" s="12" t="inlineStr">
        <is>
          <t>INT/VARCHAR</t>
        </is>
      </c>
      <c r="F94" s="12" t="inlineStr">
        <is>
          <t>P1</t>
        </is>
      </c>
      <c r="G94" s="12" t="inlineStr">
        <is>
          <t>当前破产案件状态（整数编码）；解码行为待确认</t>
        </is>
      </c>
      <c r="H94" s="12" t="inlineStr">
        <is>
          <t>整数代码（解码映射待确认，见doc 13 Q7）</t>
        </is>
      </c>
      <c r="I94" s="65" t="inlineStr">
        <is>
          <t>BPS 解码文本：
Active
Discharged
Dismissed
Closed
ReliefGranted（Newrez 原始 bkstatus 1~5）</t>
        </is>
      </c>
      <c r="J94" s="48" t="inlineStr">
        <is>
          <t>2</t>
        </is>
      </c>
      <c r="K94" s="12" t="inlineStr">
        <is>
          <t>bpms_dev.sync_loan_foreclosure_bankruptcy.bankruptcy_status</t>
        </is>
      </c>
      <c r="L94" s="131" t="inlineStr">
        <is>
          <t>COALESCE(portnewrezdatadic[BKStatus] 解码文本, bkstatus 原始码)（Active/Discharged/Dismissed/Closed/ReliefGranted）</t>
        </is>
      </c>
      <c r="M94" s="8" t="inlineStr">
        <is>
          <t>✅ 已确认：BPS 解码为文本（1→Active | 2→Discharged | 3→Dismissed | 4→Closed | 5→ReliefGranted，DB 实测）</t>
        </is>
      </c>
      <c r="N94" s="128" t="inlineStr">
        <is>
          <t>-- 验证 bk_status 取值范围
-- 源表: newrez.portnewrezbk | 运行于: mysql_dev
-- BK 整数编码（Newrez 原始码；BPS 端解码情况见 col12/数据字典）
-- 快照表：已固定 dataasof='2026-06-01' 过滤（与 BPS 数据日对齐，复跑结果不变；计数=该日真实贷款分布，非全历史快照行数）
SELECT dataasof AS data_date, bkstatus AS code, COUNT(*) AS cnt
FROM   newrez.portnewrezbk
WHERE  dataasof = '2026-06-01'
  AND  bkstatus IS NOT NULL AND bkstatus != ''
GROUP  BY dataasof, bkstatus ORDER BY cnt DESC;</t>
        </is>
      </c>
      <c r="O94" s="68" t="inlineStr">
        <is>
          <t>[data_date 2026-06-01] 2:14 | 1:13 | 3:3 | 5:2 | 4:1</t>
        </is>
      </c>
      <c r="S94" s="124" t="inlineStr">
        <is>
          <t>-- 验证 BPS bankruptcy_status 取值（dist）— bkstatus 经 datadic 解码文本
-- 表: bpms.sync_loan_foreclosure_bankruptcy | 运行于: mysql_prod（只读）
-- as-of: 业务快照 fctrdt≤2026-06-01（与 Newrez 源同日）；ETL 载入≈2026-06-03
SELECT '2026-06-01' AS data_date, `bankruptcy_status` AS val, COUNT(*) AS cnt
FROM   bpms.sync_loan_foreclosure_bankruptcy
GROUP  BY `bankruptcy_status` ORDER BY cnt DESC;</t>
        </is>
      </c>
      <c r="T94" s="124" t="inlineStr">
        <is>
          <t>[BPS prod·数据日 fctrdt≤2026-06-01·ETL载入 2026-06-03] Completed/Cancelled:32 | Active:16 | Discharged:15 | Dismissed:3 | ReliefGranted:2 | Closed:1</t>
        </is>
      </c>
    </row>
    <row r="95" ht="40" customHeight="1" s="74">
      <c r="A95" s="12" t="n">
        <v>85</v>
      </c>
      <c r="B95" s="12" t="inlineStr">
        <is>
          <t>4.1 破产字段 — Bankrupt</t>
        </is>
      </c>
      <c r="C95" s="16" t="inlineStr">
        <is>
          <t>bk_legal_status</t>
        </is>
      </c>
      <c r="D95" s="17" t="inlineStr">
        <is>
          <t>newrez.portnewrezbk.bkstage</t>
        </is>
      </c>
      <c r="E95" s="12" t="inlineStr">
        <is>
          <t>INT/VARCHAR</t>
        </is>
      </c>
      <c r="F95" s="12" t="inlineStr">
        <is>
          <t>P1</t>
        </is>
      </c>
      <c r="G95" s="12" t="inlineStr">
        <is>
          <t>破产法律程序阶段（整数编码）；与bk_status不同维度的分类</t>
        </is>
      </c>
      <c r="H95" s="12" t="inlineStr">
        <is>
          <t>整数代码（解码映射待确认）</t>
        </is>
      </c>
      <c r="I95" s="65" t="inlineStr">
        <is>
          <t>BPS 文本：
FCBU
BK13
BK7
BK11
BK7DCH
BK11DCH
BK13DCH
BKD7LM
BKD13LM
FCSold
REO（取自 portnewrezgeneral.legalstatus）</t>
        </is>
      </c>
      <c r="J95" s="48" t="inlineStr">
        <is>
          <t>8</t>
        </is>
      </c>
      <c r="K95" s="12" t="inlineStr">
        <is>
          <t>bpms_dev.sync_loan_foreclosure_bankruptcy.legal_status</t>
        </is>
      </c>
      <c r="L95" s="131" t="inlineStr">
        <is>
          <t>直接取文本（portnewrezgeneral.legalstatus → legal_status，如 FCBU/BK13/BK7）</t>
        </is>
      </c>
      <c r="M95" s="8" t="inlineStr">
        <is>
          <t>✅ 已确认：BPS legal_status 取自 portnewrezgeneral.legalstatus 文本（非 bkstage 数字码解码，DB 实测）</t>
        </is>
      </c>
      <c r="N95" s="128" t="inlineStr">
        <is>
          <t>-- 验证 bk_legal_status 取值范围
-- 源表: newrez.portnewrezbk | 运行于: mysql_dev
-- BK 整数编码（Newrez 原始码；BPS 端解码情况见 col12/数据字典）
-- 快照表：已固定 dataasof='2026-06-01' 过滤（与 BPS 数据日对齐，复跑结果不变；计数=该日真实贷款分布，非全历史快照行数）
SELECT dataasof AS data_date, bkstage AS code, COUNT(*) AS cnt
FROM   newrez.portnewrezbk
WHERE  dataasof = '2026-06-01'
  AND  bkstage IS NOT NULL AND bkstage != ''
GROUP  BY dataasof, bkstage ORDER BY cnt DESC;</t>
        </is>
      </c>
      <c r="O95" s="68" t="inlineStr">
        <is>
          <t>[data_date 2026-06-01] 8:14 | 4:5 | 10:3 | 21:2 | 7:2 | 17:1</t>
        </is>
      </c>
      <c r="S95" s="124" t="inlineStr">
        <is>
          <t>-- 验证 BPS legal_status 取值（dist）— 取自 portnewrezgeneral.legalstatus
-- 表: bpms.sync_loan_foreclosure_bankruptcy | 运行于: mysql_prod（只读）
-- as-of: 业务快照 fctrdt≤2026-06-01（与 Newrez 源同日）；ETL 载入≈2026-06-03
SELECT '2026-06-01' AS data_date, `legal_status` AS val, COUNT(*) AS cnt
FROM   bpms.sync_loan_foreclosure_bankruptcy
GROUP  BY `legal_status` ORDER BY cnt DESC;</t>
        </is>
      </c>
      <c r="T95" s="124" t="inlineStr">
        <is>
          <t>[BPS prod·数据日 fctrdt≤2026-06-01·ETL载入 2026-06-03] ∅NULL:35 | BK13:12 | BK11DCH:3 | BK11:3 | FCBU:3 | BK7:3 | BK7DCH:2 | (空串):2 | REO:2 | BKD13LM:1 | BKD7LM:1 | BK13DCH:1 | FCSold:1</t>
        </is>
      </c>
    </row>
    <row r="96" ht="40" customHeight="1" s="74">
      <c r="A96" s="12" t="n">
        <v>86</v>
      </c>
      <c r="B96" s="12" t="inlineStr">
        <is>
          <t>4.1 破产字段 — Bankrupt</t>
        </is>
      </c>
      <c r="C96" s="16" t="inlineStr">
        <is>
          <t>bk_status_date</t>
        </is>
      </c>
      <c r="D96" s="17" t="inlineStr">
        <is>
          <t>newrez.portnewrezbk.bkrcurrentstatusdate</t>
        </is>
      </c>
      <c r="E96" s="12" t="inlineStr">
        <is>
          <t>DATE</t>
        </is>
      </c>
      <c r="F96" s="12" t="inlineStr">
        <is>
          <t>P1</t>
        </is>
      </c>
      <c r="G96" s="12" t="inlineStr">
        <is>
          <t>当前破产状态的生效日期</t>
        </is>
      </c>
      <c r="H96" s="12" t="inlineStr">
        <is>
          <t>YYYY-MM-DD</t>
        </is>
      </c>
      <c r="I96" s="48" t="inlineStr">
        <is>
          <t>YYYY-MM-DD</t>
        </is>
      </c>
      <c r="J96" s="48" t="inlineStr">
        <is>
          <t>2024-01-15</t>
        </is>
      </c>
      <c r="K96" s="12" t="inlineStr">
        <is>
          <t>bpms_dev.sync_loan_foreclosure_bankruptcy.status_date</t>
        </is>
      </c>
      <c r="L96" s="131" t="inlineStr">
        <is>
          <t>直接取值（bkfileddate → status_date；代码核实=破产申请日，非 bkrcurrentstatusdate）</t>
        </is>
      </c>
      <c r="M96" s="7" t="inlineStr">
        <is>
          <t>✅ 已提供</t>
        </is>
      </c>
      <c r="N96" s="126" t="inlineStr">
        <is>
          <t>-- 验证 bk_status_date 取值样例（最新快照取10笔，快速查看字段的样子）
-- 源表: newrez.portnewrezbk | 运行于: mysql_dev
SELECT loanid, dataasof, bkrcurrentstatusdate
FROM   newrez.portnewrezbk
WHERE  dataasof = '2026-06-01'
  AND  bkrcurrentstatusdate IS NOT NULL
LIMIT  10;</t>
        </is>
      </c>
      <c r="O96" s="68" t="inlineStr">
        <is>
          <t>[data_date 2026-06-01] 2026-04-27 | 2026-04-15 | 2025-07-12 | 2023-10-24 | 2026-04-01 | 2026-04-08 | 2026-05-26 | 2026-03-27 | 2023-11-20 | 2024-02-01（10笔）</t>
        </is>
      </c>
      <c r="S96" s="124" t="inlineStr">
        <is>
          <t>-- 验证 BPS status_date 取值（date）— 实际=bkfileddate（代码核实）
-- 表: bpms.sync_loan_foreclosure_bankruptcy | 运行于: mysql_prod（只读）
-- as-of: 业务快照 fctrdt≤2026-06-01（与 Newrez 源同日）；ETL 载入≈2026-06-03
SELECT '2026-06-01' AS data_date, COUNT(*) AS total, COUNT(`status_date`) AS non_null,
       MIN(`status_date`) AS min_dt, MAX(`status_date`) AS max_dt
FROM   bpms.sync_loan_foreclosure_bankruptcy;</t>
        </is>
      </c>
      <c r="T96" s="124" t="inlineStr">
        <is>
          <t>[BPS prod·数据日 fctrdt≤2026-06-01·ETL载入 2026-06-03] 非空 67/69 · 区间 2003-11-14~2026-05-29</t>
        </is>
      </c>
    </row>
    <row r="97" ht="40" customHeight="1" s="74">
      <c r="A97" s="12" t="n">
        <v>87</v>
      </c>
      <c r="B97" s="12" t="inlineStr">
        <is>
          <t>4.1 破产字段 — Bankrupt</t>
        </is>
      </c>
      <c r="C97" s="16" t="inlineStr">
        <is>
          <t>bk_chapter</t>
        </is>
      </c>
      <c r="D97" s="17" t="inlineStr">
        <is>
          <t>newrez.portnewrezbk.bkchapter</t>
        </is>
      </c>
      <c r="E97" s="12" t="inlineStr">
        <is>
          <t>VARCHAR/INT</t>
        </is>
      </c>
      <c r="F97" s="12" t="inlineStr">
        <is>
          <t>P1</t>
        </is>
      </c>
      <c r="G97" s="12" t="inlineStr">
        <is>
          <t>申请的破产章节；Chapter 7（清算）/ Chapter 13（还款计划）/ Chapter 11（重组）；影响FCL恢复策略</t>
        </is>
      </c>
      <c r="H97" s="12" t="inlineStr">
        <is>
          <t>7 / 11 / 13 等</t>
        </is>
      </c>
      <c r="I97" s="48" t="inlineStr">
        <is>
          <t>7（清算）/ 11（重组）/ 13（个人还款计划）</t>
        </is>
      </c>
      <c r="J97" s="48" t="inlineStr">
        <is>
          <t>7</t>
        </is>
      </c>
      <c r="K97" s="12" t="inlineStr">
        <is>
          <t>bpms_dev.sync_loan_foreclosure_bankruptcy.chapter</t>
        </is>
      </c>
      <c r="L97" s="131" t="inlineStr">
        <is>
          <t>CAST 为 DECIMAL（7/11/13 → chapter）</t>
        </is>
      </c>
      <c r="M97" s="7" t="inlineStr">
        <is>
          <t>✅ 已提供</t>
        </is>
      </c>
      <c r="N97" s="126" t="inlineStr">
        <is>
          <t>-- 验证 bk_chapter 取值范围
-- 源表: newrez.portnewrezbk | 运行于: mysql_dev
-- BK 整数编码（Newrez 原始码；BPS 端解码情况见 col12/数据字典）
-- 快照表：已固定 dataasof='2026-06-01' 过滤（与 BPS 数据日对齐，复跑结果不变；计数=该日真实贷款分布，非全历史快照行数）
SELECT dataasof AS data_date, bkchapter AS code, COUNT(*) AS cnt
FROM   newrez.portnewrezbk
WHERE  dataasof = '2026-06-01'
  AND  bkchapter IS NOT NULL AND bkchapter != ''
GROUP  BY dataasof, bkchapter ORDER BY cnt DESC;</t>
        </is>
      </c>
      <c r="O97" s="68" t="inlineStr">
        <is>
          <t>[data_date 2026-06-01] 13:15 | 7:12 | 11:6</t>
        </is>
      </c>
      <c r="S97" s="124" t="inlineStr">
        <is>
          <t>-- 验证 BPS chapter 取值（dist）— 7/11/13
-- 表: bpms.sync_loan_foreclosure_bankruptcy | 运行于: mysql_prod（只读）
-- as-of: 业务快照 fctrdt≤2026-06-01（与 Newrez 源同日）；ETL 载入≈2026-06-03
SELECT '2026-06-01' AS data_date, `chapter` AS val, COUNT(*) AS cnt
FROM   bpms.sync_loan_foreclosure_bankruptcy
GROUP  BY `chapter` ORDER BY cnt DESC;</t>
        </is>
      </c>
      <c r="T97" s="124" t="inlineStr">
        <is>
          <t>[BPS prod·数据日 fctrdt≤2026-06-01·ETL载入 2026-06-03] 13:38 | 7:25 | 11:6</t>
        </is>
      </c>
    </row>
    <row r="98" ht="40" customHeight="1" s="74">
      <c r="A98" s="12" t="n">
        <v>88</v>
      </c>
      <c r="B98" s="12" t="inlineStr">
        <is>
          <t>4.1 破产字段 — Bankrupt</t>
        </is>
      </c>
      <c r="C98" s="16" t="inlineStr">
        <is>
          <t>bk_filed_date</t>
        </is>
      </c>
      <c r="D98" s="17" t="inlineStr">
        <is>
          <t>newrez.portnewrezbk.bkfileddate</t>
        </is>
      </c>
      <c r="E98" s="12" t="inlineStr">
        <is>
          <t>DATE</t>
        </is>
      </c>
      <c r="F98" s="12" t="inlineStr">
        <is>
          <t>P1</t>
        </is>
      </c>
      <c r="G98" s="12" t="inlineStr">
        <is>
          <t>破产申请向法院提交的日期；BPS去重键（loanid + bkfileddate唯一标识一次破产申请）</t>
        </is>
      </c>
      <c r="H98" s="12" t="inlineStr">
        <is>
          <t>YYYY-MM-DD</t>
        </is>
      </c>
      <c r="I98" s="48" t="inlineStr">
        <is>
          <t>YYYY-MM-DD</t>
        </is>
      </c>
      <c r="J98" s="48" t="inlineStr">
        <is>
          <t>2023-01-15</t>
        </is>
      </c>
      <c r="K98" s="12" t="inlineStr">
        <is>
          <t>bpms_dev.sync_loan_foreclosure_bankruptcy（BPS去重键）</t>
        </is>
      </c>
      <c r="L98" s="131" t="inlineStr">
        <is>
          <t>直接取值（bkfileddate → status_date；同 bk_status_date）</t>
        </is>
      </c>
      <c r="M98" s="7" t="inlineStr">
        <is>
          <t>✅ 已提供</t>
        </is>
      </c>
      <c r="N98" s="126" t="inlineStr">
        <is>
          <t>-- 验证 bk_filed_date 取值样例（最新快照取10笔，快速查看字段的样子）
-- 源表: newrez.portnewrezbk | 运行于: mysql_dev
SELECT loanid, dataasof, bkfileddate
FROM   newrez.portnewrezbk
WHERE  dataasof = '2026-06-01'
  AND  bkfileddate IS NOT NULL
LIMIT  10;</t>
        </is>
      </c>
      <c r="O98" s="68" t="inlineStr">
        <is>
          <t>[data_date 2026-06-01] 2026-04-27 | 2025-12-29 | 2025-04-02 | 2025-05-27 | 2022-08-18 | 2021-03-07 | 2018-08-29 | 2025-07-12 | 2023-10-24 | 2026-04-01（10笔）</t>
        </is>
      </c>
      <c r="S98" s="124" t="inlineStr">
        <is>
          <t>-- 验证 BPS status_date 取值（date）— BPS status_date 即 bkfileddate
-- 表: bpms.sync_loan_foreclosure_bankruptcy | 运行于: mysql_prod（只读）
-- as-of: 业务快照 fctrdt≤2026-06-01（与 Newrez 源同日）；ETL 载入≈2026-06-03
SELECT '2026-06-01' AS data_date, COUNT(*) AS total, COUNT(`status_date`) AS non_null,
       MIN(`status_date`) AS min_dt, MAX(`status_date`) AS max_dt
FROM   bpms.sync_loan_foreclosure_bankruptcy;</t>
        </is>
      </c>
      <c r="T98" s="124" t="inlineStr">
        <is>
          <t>[BPS prod·数据日 fctrdt≤2026-06-01·ETL载入 2026-06-03] 非空 67/69 · 区间 2003-11-14~2026-05-29</t>
        </is>
      </c>
    </row>
    <row r="99" ht="40" customHeight="1" s="74">
      <c r="A99" s="12" t="n">
        <v>89</v>
      </c>
      <c r="B99" s="12" t="inlineStr">
        <is>
          <t>4.1 破产字段 — Bankrupt</t>
        </is>
      </c>
      <c r="C99" s="16" t="inlineStr">
        <is>
          <t>bk_removal_date</t>
        </is>
      </c>
      <c r="D99" s="17" t="inlineStr">
        <is>
          <t>newrez.portnewrezbk.bkremovaldate</t>
        </is>
      </c>
      <c r="E99" s="12" t="inlineStr">
        <is>
          <t>DATE</t>
        </is>
      </c>
      <c r="F99" s="12" t="inlineStr">
        <is>
          <t>P1</t>
        </is>
      </c>
      <c r="G99" s="12" t="inlineStr">
        <is>
          <t>破产程序终止日期；variance_completed_bankruptcy逻辑：activebkflag=0 AND bkremovaldate IS NOT NULL</t>
        </is>
      </c>
      <c r="H99" s="12" t="inlineStr">
        <is>
          <t>YYYY-MM-DD</t>
        </is>
      </c>
      <c r="I99" s="48" t="inlineStr">
        <is>
          <t>YYYY-MM-DD</t>
        </is>
      </c>
      <c r="J99" s="48" t="inlineStr">
        <is>
          <t>2024-06-01</t>
        </is>
      </c>
      <c r="K99" s="12" t="inlineStr">
        <is>
          <t>bpms_dev.sync_loan_foreclosure.variance_completed_bankruptcy计算</t>
        </is>
      </c>
      <c r="L99" s="131" t="inlineStr">
        <is>
          <t>N/A — BPS bankruptcy 表无 removal 列</t>
        </is>
      </c>
      <c r="M99" s="7" t="inlineStr">
        <is>
          <t>✅ 已提供</t>
        </is>
      </c>
      <c r="N99" s="126" t="inlineStr">
        <is>
          <t>-- 验证 bk_removal_date 取值样例（最新快照取10笔，快速查看字段的样子）
-- 源表: newrez.portnewrezbk | 运行于: mysql_dev
SELECT loanid, dataasof, bkremovaldate
FROM   newrez.portnewrezbk
WHERE  dataasof = '2026-06-01'
  AND  bkremovaldate IS NOT NULL
LIMIT  10;</t>
        </is>
      </c>
      <c r="O99" s="68" t="inlineStr">
        <is>
          <t>[data_date 2026-06-01] 2025-12-08 | 2026-01-08 | 2023-04-20 | 2021-06-08 | 2022-12-30 | 2023-06-21 | 2026-03-25 | 2025-07-29 | 2024-06-24 | 2026-04-14（10笔）</t>
        </is>
      </c>
      <c r="S99" s="124" t="inlineStr">
        <is>
          <t>-- N/A — BPS bankruptcy 表无 removal 列</t>
        </is>
      </c>
      <c r="T99" s="124" t="inlineStr">
        <is>
          <t>N/A — 不映射到 BPS FCL 同步表（见左侧说明）</t>
        </is>
      </c>
    </row>
    <row r="100" ht="40" customHeight="1" s="74">
      <c r="A100" s="12" t="n">
        <v>90</v>
      </c>
      <c r="B100" s="12" t="inlineStr">
        <is>
          <t>4.1 破产字段 — Bankrupt</t>
        </is>
      </c>
      <c r="C100" s="16" t="inlineStr">
        <is>
          <t>mfr_filed_date</t>
        </is>
      </c>
      <c r="D100" s="17" t="inlineStr">
        <is>
          <t>newrez.portnewrezbk.mfrfileddate</t>
        </is>
      </c>
      <c r="E100" s="12" t="inlineStr">
        <is>
          <t>DATE</t>
        </is>
      </c>
      <c r="F100" s="12" t="inlineStr">
        <is>
          <t>P1</t>
        </is>
      </c>
      <c r="G100" s="12" t="inlineStr">
        <is>
          <t>贷款方向破产法院提交解除自动中止令动议（MFR）的日期；MFR获批后可恢复止赎</t>
        </is>
      </c>
      <c r="H100" s="12" t="inlineStr">
        <is>
          <t>YYYY-MM-DD</t>
        </is>
      </c>
      <c r="I100" s="48" t="inlineStr">
        <is>
          <t>YYYY-MM-DD</t>
        </is>
      </c>
      <c r="J100" s="48" t="inlineStr">
        <is>
          <t>2025-08-01</t>
        </is>
      </c>
      <c r="K100" s="12" t="inlineStr">
        <is>
          <t>bpms_dev.sync_loan_foreclosure_bankruptcy.mfr_filed_date</t>
        </is>
      </c>
      <c r="L100" s="131" t="inlineStr">
        <is>
          <t>BPS mfr_filed_date 列存在但 Newrez 提取链路硬编码 NULL（非取自 mfrfileddate）</t>
        </is>
      </c>
      <c r="M100" s="7" t="inlineStr">
        <is>
          <t>✅ 已提供</t>
        </is>
      </c>
      <c r="N100" s="126" t="inlineStr">
        <is>
          <t>-- 验证 mfr_filed_date 取值样例（最新快照取10笔，快速查看字段的样子）
-- 源表: newrez.portnewrezbk | 运行于: mysql_dev
SELECT loanid, dataasof, mfrfileddate
FROM   newrez.portnewrezbk
WHERE  dataasof = '2026-06-01'
  AND  mfrfileddate IS NOT NULL
LIMIT  10;</t>
        </is>
      </c>
      <c r="O100" s="68" t="inlineStr">
        <is>
          <t>[data_date 2026-06-01] 2025-11-04 | 2025-11-21 | 2026-04-29 | 2026-02-04 | 2025-06-10（5笔）</t>
        </is>
      </c>
      <c r="S100" s="124" t="inlineStr">
        <is>
          <t>-- 验证 BPS mfr_filed_date 取值（date）
-- 表: bpms.sync_loan_foreclosure_bankruptcy | 运行于: mysql_prod（只读）
-- as-of: 业务快照 fctrdt≤2026-06-01（与 Newrez 源同日）；ETL 载入≈2026-06-03
SELECT '2026-06-01' AS data_date, COUNT(*) AS total, COUNT(`mfr_filed_date`) AS non_null,
       MIN(`mfr_filed_date`) AS min_dt, MAX(`mfr_filed_date`) AS max_dt
FROM   bpms.sync_loan_foreclosure_bankruptcy;</t>
        </is>
      </c>
      <c r="T100" s="124" t="inlineStr">
        <is>
          <t>[BPS prod·数据日 fctrdt≤2026-06-01·ETL载入 2026-06-03] 非空 4/69 · 区间 2020-10-19~2026-04-10</t>
        </is>
      </c>
    </row>
    <row r="101" ht="40" customHeight="1" s="74">
      <c r="A101" s="12" t="n">
        <v>91</v>
      </c>
      <c r="B101" s="12" t="inlineStr">
        <is>
          <t>4.1 破产字段 — Bankrupt</t>
        </is>
      </c>
      <c r="C101" s="16" t="inlineStr">
        <is>
          <t>mfr_hearing_results</t>
        </is>
      </c>
      <c r="D101" s="17" t="inlineStr">
        <is>
          <t>newrez.portnewrezbk.mfrhearingresults</t>
        </is>
      </c>
      <c r="E101" s="12" t="inlineStr">
        <is>
          <t>INT</t>
        </is>
      </c>
      <c r="F101" s="12" t="inlineStr">
        <is>
          <t>P1</t>
        </is>
      </c>
      <c r="G101" s="12" t="inlineStr">
        <is>
          <t>MFR听证会结果（整数编码，解码待确认）；获批则可恢复止赎</t>
        </is>
      </c>
      <c r="H101" s="12" t="inlineStr">
        <is>
          <t>整数代码（解码映射待确认）</t>
        </is>
      </c>
      <c r="I101" s="48" t="inlineStr">
        <is>
          <t>数值编码（Newrez内部）</t>
        </is>
      </c>
      <c r="J101" s="48" t="inlineStr">
        <is>
          <t>0</t>
        </is>
      </c>
      <c r="K101" s="12" t="inlineStr">
        <is>
          <t>bpms_dev.sync_loan_foreclosure_bankruptcy.mfr_status</t>
        </is>
      </c>
      <c r="L101" s="131" t="inlineStr">
        <is>
          <t>N/A — BPS mfr_status 硬编码 NULL（非取自 mfrhearingresults）</t>
        </is>
      </c>
      <c r="M101" s="8" t="inlineStr">
        <is>
          <t>⚠️ Newrez 原始数字码（0/3/4/5/6 实测）；BPS mfr_status 列 dev 实测全空（0/64），下游填充/解码待确认</t>
        </is>
      </c>
      <c r="N101" s="128" t="inlineStr">
        <is>
          <t>-- 验证 mfr_hearing_results 取值范围
-- 源表: newrez.portnewrezbk | 运行于: mysql_dev
-- BK 整数编码（Newrez 原始码；BPS 端解码情况见 col12/数据字典）
-- 快照表：已固定 dataasof='2026-06-01' 过滤（与 BPS 数据日对齐，复跑结果不变；计数=该日真实贷款分布，非全历史快照行数）
SELECT dataasof AS data_date, mfrhearingresults AS code, COUNT(*) AS cnt
FROM   newrez.portnewrezbk
WHERE  dataasof = '2026-06-01'
  AND  mfrhearingresults IS NOT NULL AND mfrhearingresults != ''
GROUP  BY dataasof, mfrhearingresults ORDER BY cnt DESC;</t>
        </is>
      </c>
      <c r="O101" s="68" t="inlineStr">
        <is>
          <t>[data_date 2026-06-01] 3:3 | 4:1 | 5:1</t>
        </is>
      </c>
      <c r="S101" s="124" t="inlineStr">
        <is>
          <t>-- N/A — BPS mfr_status 硬编码 NULL，非来自 mfrhearingresults</t>
        </is>
      </c>
      <c r="T101" s="124" t="inlineStr">
        <is>
          <t>N/A — 不映射到 BPS FCL 同步表（见左侧说明）</t>
        </is>
      </c>
    </row>
    <row r="102" ht="40" customHeight="1" s="74">
      <c r="A102" s="12" t="n">
        <v>92</v>
      </c>
      <c r="B102" s="12" t="inlineStr">
        <is>
          <t>4.1 破产字段 — Bankrupt</t>
        </is>
      </c>
      <c r="C102" s="16" t="inlineStr">
        <is>
          <t>proof_of_claim_date</t>
        </is>
      </c>
      <c r="D102" s="17" t="inlineStr">
        <is>
          <t>newrez.portnewrezbk.pocfileddate</t>
        </is>
      </c>
      <c r="E102" s="12" t="inlineStr">
        <is>
          <t>DATE</t>
        </is>
      </c>
      <c r="F102" s="12" t="inlineStr">
        <is>
          <t>P1</t>
        </is>
      </c>
      <c r="G102" s="12" t="inlineStr">
        <is>
          <t>贷款方在破产法庭正式登记债权金额（Proof of Claim）的日期；破产合规必要步骤</t>
        </is>
      </c>
      <c r="H102" s="12" t="inlineStr">
        <is>
          <t>YYYY-MM-DD</t>
        </is>
      </c>
      <c r="I102" s="48" t="inlineStr">
        <is>
          <t>YYYY-MM-DD</t>
        </is>
      </c>
      <c r="J102" s="48" t="inlineStr">
        <is>
          <t>2023-03-01</t>
        </is>
      </c>
      <c r="K102" s="12" t="inlineStr">
        <is>
          <t>bpms_dev.sync_loan_foreclosure_bankruptcy.proof_of_claim_date</t>
        </is>
      </c>
      <c r="L102" s="131" t="inlineStr">
        <is>
          <t>直接取值（pocfileddate → proof_of_claim_date）</t>
        </is>
      </c>
      <c r="M102" s="7" t="inlineStr">
        <is>
          <t>✅ 已提供</t>
        </is>
      </c>
      <c r="N102" s="126" t="inlineStr">
        <is>
          <t>-- 验证 proof_of_claim_date 取值样例（最新快照取10笔，快速查看字段的样子）
-- 源表: newrez.portnewrezbk | 运行于: mysql_dev
SELECT loanid, dataasof, pocfileddate
FROM   newrez.portnewrezbk
WHERE  dataasof = '2026-06-01'
  AND  pocfileddate IS NOT NULL
LIMIT  10;</t>
        </is>
      </c>
      <c r="O102" s="68" t="inlineStr">
        <is>
          <t>[data_date 2026-06-01] 2025-08-05 | 2022-10-17 | 2025-09-22 | 2023-11-15 | 2023-09-30 | 2025-06-27 | 2001-01-01 | 2010-06-17 | 2010-06-17 | 2024-03-29（10笔）</t>
        </is>
      </c>
      <c r="S102" s="124" t="inlineStr">
        <is>
          <t>-- 验证 BPS proof_of_claim_date 取值（date）
-- 表: bpms.sync_loan_foreclosure_bankruptcy | 运行于: mysql_prod（只读）
-- as-of: 业务快照 fctrdt≤2026-06-01（与 Newrez 源同日）；ETL 载入≈2026-06-03
SELECT '2026-06-01' AS data_date, COUNT(*) AS total, COUNT(`proof_of_claim_date`) AS non_null,
       MIN(`proof_of_claim_date`) AS min_dt, MAX(`proof_of_claim_date`) AS max_dt
FROM   bpms.sync_loan_foreclosure_bankruptcy;</t>
        </is>
      </c>
      <c r="T102" s="124" t="inlineStr">
        <is>
          <t>[BPS prod·数据日 fctrdt≤2026-06-01·ETL载入 2026-06-03] 非空 24/69 · 区间 2001-01-01~2026-05-04</t>
        </is>
      </c>
    </row>
    <row r="103">
      <c r="A103" s="12" t="n">
        <v>93</v>
      </c>
      <c r="B103" s="12" t="inlineStr">
        <is>
          <t>4.1 破产字段 — Bankrupt</t>
        </is>
      </c>
      <c r="C103" s="16" t="inlineStr">
        <is>
          <t>post_petition_due_date</t>
        </is>
      </c>
      <c r="D103" s="17" t="inlineStr">
        <is>
          <t>newrez.portnewrezbk.bkpostpetitionduedate</t>
        </is>
      </c>
      <c r="E103" s="12" t="inlineStr">
        <is>
          <t>DATE</t>
        </is>
      </c>
      <c r="F103" s="12" t="inlineStr">
        <is>
          <t>P1</t>
        </is>
      </c>
      <c r="G103" s="12" t="inlineStr">
        <is>
          <t>破产申请后的每月贷款付款到期日；追踪借款人在自动中止令期间是否持续还款</t>
        </is>
      </c>
      <c r="H103" s="12" t="inlineStr">
        <is>
          <t>YYYY-MM-DD</t>
        </is>
      </c>
      <c r="I103" s="48" t="inlineStr">
        <is>
          <t>YYYY-MM-DD</t>
        </is>
      </c>
      <c r="J103" s="48" t="inlineStr">
        <is>
          <t>2024-01-01</t>
        </is>
      </c>
      <c r="K103" s="12" t="inlineStr">
        <is>
          <t>bpms_dev.sync_loan_foreclosure_bankruptcy.post_petition_due_date</t>
        </is>
      </c>
      <c r="L103" s="131" t="inlineStr">
        <is>
          <t>直接取值（bkpostpetitionduedate → post_petition_due_date）</t>
        </is>
      </c>
      <c r="M103" s="7" t="inlineStr">
        <is>
          <t>✅ 已提供</t>
        </is>
      </c>
      <c r="N103" s="126" t="inlineStr">
        <is>
          <t>-- 验证 post_petition_due_date 取值样例（最新快照取10笔，快速查看字段的样子）
-- 源表: newrez.portnewrezbk | 运行于: mysql_dev
SELECT loanid, dataasof, bkpostpetitionduedate
FROM   newrez.portnewrezbk
WHERE  dataasof = '2026-06-01'
  AND  bkpostpetitionduedate IS NOT NULL
LIMIT  10;</t>
        </is>
      </c>
      <c r="O103" s="68" t="inlineStr">
        <is>
          <t>[data_date 2026-06-01] 2026-02-01 | 2025-11-01 | 2025-02-01 | 2021-04-01 | 2018-09-01 | 2025-09-01 | 2025-12-01 | 2026-05-01 | 2023-04-01 | 2026-04-01（10笔）</t>
        </is>
      </c>
      <c r="S103" s="124" t="inlineStr">
        <is>
          <t>-- 验证 BPS post_petition_due_date 取值（date）
-- 表: bpms.sync_loan_foreclosure_bankruptcy | 运行于: mysql_prod（只读）
-- as-of: 业务快照 fctrdt≤2026-06-01（与 Newrez 源同日）；ETL 载入≈2026-06-03
SELECT '2026-06-01' AS data_date, COUNT(*) AS total, COUNT(`post_petition_due_date`) AS non_null,
       MIN(`post_petition_due_date`) AS min_dt, MAX(`post_petition_due_date`) AS max_dt
FROM   bpms.sync_loan_foreclosure_bankruptcy;</t>
        </is>
      </c>
      <c r="T103" s="124" t="inlineStr">
        <is>
          <t>[BPS prod·数据日 fctrdt≤2026-06-01·ETL载入 2026-06-03] 非空 25/69 · 区间 2018-09-01~2026-07-01</t>
        </is>
      </c>
    </row>
  </sheetData>
  <autoFilter ref="A1:J1"/>
  <mergeCells count="9">
    <mergeCell ref="A23:J23"/>
    <mergeCell ref="A67:J67"/>
    <mergeCell ref="A92:J92"/>
    <mergeCell ref="A34:J34"/>
    <mergeCell ref="A15:J15"/>
    <mergeCell ref="A81:J81"/>
    <mergeCell ref="A2:J2"/>
    <mergeCell ref="A71:J71"/>
    <mergeCell ref="A51:J51"/>
  </mergeCells>
  <pageMargins left="0.75" right="0.75" top="1" bottom="1" header="0.5" footer="0.5"/>
  <pageSetup orientation="portrait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:D1"/>
    </sheetView>
  </sheetViews>
  <sheetFormatPr baseColWidth="8" defaultRowHeight="14.5"/>
  <cols>
    <col width="28" customWidth="1" style="74" min="1" max="1"/>
    <col width="40" customWidth="1" style="74" min="2" max="2"/>
    <col width="28" customWidth="1" style="74" min="3" max="3"/>
    <col width="45" customWidth="1" style="74" min="4" max="4"/>
  </cols>
  <sheetData>
    <row r="1" ht="18" customHeight="1" s="74">
      <c r="A1" s="121" t="inlineStr">
        <is>
          <t>A — P0 必填字段（共7个）：任意缺失 → 贷款被BPS拒绝入库</t>
        </is>
      </c>
      <c r="B1" s="70" t="n"/>
      <c r="C1" s="70" t="n"/>
      <c r="D1" s="71" t="n"/>
    </row>
    <row r="2" ht="22" customHeight="1" s="74">
      <c r="A2" s="4" t="inlineStr">
        <is>
          <t>标准接口字段</t>
        </is>
      </c>
      <c r="B2" s="4" t="inlineStr">
        <is>
          <t>Newrez原始字段 (完整路径)</t>
        </is>
      </c>
      <c r="C2" s="4" t="inlineStr">
        <is>
          <t>Newrez当前状态</t>
        </is>
      </c>
      <c r="D2" s="4" t="inlineStr">
        <is>
          <t>说明</t>
        </is>
      </c>
    </row>
    <row r="3">
      <c r="A3" s="21" t="inlineStr">
        <is>
          <t>loan_id</t>
        </is>
      </c>
      <c r="B3" s="11" t="inlineStr">
        <is>
          <t>newrez.portnewrezfc.loanid</t>
        </is>
      </c>
      <c r="C3" s="7" t="inlineStr">
        <is>
          <t>✅ 100%</t>
        </is>
      </c>
      <c r="D3" s="11" t="inlineStr">
        <is>
          <t>P0必填；缺失即拒绝</t>
        </is>
      </c>
    </row>
    <row r="4">
      <c r="A4" s="21" t="inlineStr">
        <is>
          <t>servicer_loan_id</t>
        </is>
      </c>
      <c r="B4" s="11" t="inlineStr">
        <is>
          <t>newrez.portnewrezfc.shellpointloanid</t>
        </is>
      </c>
      <c r="C4" s="7" t="inlineStr">
        <is>
          <t>✅ 100%</t>
        </is>
      </c>
      <c r="D4" s="11" t="inlineStr">
        <is>
          <t>P0必填；缺失即拒绝</t>
        </is>
      </c>
    </row>
    <row r="5">
      <c r="A5" s="21" t="inlineStr">
        <is>
          <t>data_as_of_date</t>
        </is>
      </c>
      <c r="B5" s="11" t="inlineStr">
        <is>
          <t>newrez.portnewrezfc.dataasof</t>
        </is>
      </c>
      <c r="C5" s="7" t="inlineStr">
        <is>
          <t>✅ 100%</t>
        </is>
      </c>
      <c r="D5" s="11" t="inlineStr">
        <is>
          <t>P0必填；缺失即拒绝</t>
        </is>
      </c>
    </row>
    <row r="6">
      <c r="A6" s="21" t="inlineStr">
        <is>
          <t>state</t>
        </is>
      </c>
      <c r="B6" s="11" t="inlineStr">
        <is>
          <t>newrez.portnewrezfc.state</t>
        </is>
      </c>
      <c r="C6" s="7" t="inlineStr">
        <is>
          <t>✅ 100%</t>
        </is>
      </c>
      <c r="D6" s="11" t="inlineStr">
        <is>
          <t>P0必填；缺失即拒绝</t>
        </is>
      </c>
    </row>
    <row r="7">
      <c r="A7" s="21" t="inlineStr">
        <is>
          <t>judicial_flag</t>
        </is>
      </c>
      <c r="B7" s="11" t="inlineStr">
        <is>
          <t>newrez.portnewrezfc.judicial</t>
        </is>
      </c>
      <c r="C7" s="7" t="inlineStr">
        <is>
          <t>✅ 100%</t>
        </is>
      </c>
      <c r="D7" s="11" t="inlineStr">
        <is>
          <t>P0必填；缺失即拒绝</t>
        </is>
      </c>
    </row>
    <row r="8" ht="26" customHeight="1" s="74">
      <c r="A8" s="21" t="inlineStr">
        <is>
          <t>active_fcl_flag</t>
        </is>
      </c>
      <c r="B8" s="11" t="inlineStr">
        <is>
          <t>newrez.portnewrezfc.activefcflag</t>
        </is>
      </c>
      <c r="C8" s="7" t="inlineStr">
        <is>
          <t>✅ 100% (含历史NULL，需NULL-safe处理)</t>
        </is>
      </c>
      <c r="D8" s="11" t="inlineStr">
        <is>
          <t>P0必填；缺失即拒绝</t>
        </is>
      </c>
    </row>
    <row r="9">
      <c r="A9" s="21" t="inlineStr">
        <is>
          <t>fcl_referral_date</t>
        </is>
      </c>
      <c r="B9" s="11" t="inlineStr">
        <is>
          <t>newrez.portnewrezfc.fcreferraldate</t>
        </is>
      </c>
      <c r="C9" s="7" t="inlineStr">
        <is>
          <t>✅ 100%</t>
        </is>
      </c>
      <c r="D9" s="11" t="inlineStr">
        <is>
          <t>P0必填；缺失即拒绝</t>
        </is>
      </c>
    </row>
    <row r="11" ht="18" customHeight="1" s="74">
      <c r="A11" s="122" t="inlineStr">
        <is>
          <t>B — P1 当前问题项（Newrez已有，但质量问题需跟进）</t>
        </is>
      </c>
      <c r="B11" s="70" t="n"/>
      <c r="C11" s="70" t="n"/>
      <c r="D11" s="71" t="n"/>
    </row>
    <row r="12" ht="22" customHeight="1" s="74">
      <c r="A12" s="4" t="inlineStr">
        <is>
          <t>标准接口字段</t>
        </is>
      </c>
      <c r="B12" s="4" t="inlineStr">
        <is>
          <t>Newrez原始字段 (完整路径)</t>
        </is>
      </c>
      <c r="C12" s="4" t="inlineStr">
        <is>
          <t>问题描述</t>
        </is>
      </c>
      <c r="D12" s="4" t="inlineStr">
        <is>
          <t>建议行动</t>
        </is>
      </c>
    </row>
    <row r="13" ht="26" customHeight="1" s="74">
      <c r="A13" s="22" t="inlineStr">
        <is>
          <t>current_milestone</t>
        </is>
      </c>
      <c r="B13" s="12" t="inlineStr">
        <is>
          <t>newrez.portnewrezfc.currentmilestone</t>
        </is>
      </c>
      <c r="C13" s="12" t="inlineStr">
        <is>
          <t>填充率仅62.7%（低于可接受水平）</t>
        </is>
      </c>
      <c r="D13" s="12" t="inlineStr">
        <is>
          <t>建议推动Newrez提升至90%+</t>
        </is>
      </c>
    </row>
    <row r="14" ht="26" customHeight="1" s="74">
      <c r="A14" s="22" t="inlineStr">
        <is>
          <t>sale_amount</t>
        </is>
      </c>
      <c r="B14" s="12" t="inlineStr">
        <is>
          <t>newrez.portnewrezfc.fcsaleamount</t>
        </is>
      </c>
      <c r="C14" s="12" t="inlineStr">
        <is>
          <t>填充率4.7% &gt; sale_held 2.1%（字段顺序异常）</t>
        </is>
      </c>
      <c r="D14" s="12" t="inlineStr">
        <is>
          <t>调查：金额是否在sale_held日期前到达</t>
        </is>
      </c>
    </row>
    <row r="15" ht="26" customHeight="1" s="74">
      <c r="A15" s="22" t="inlineStr">
        <is>
          <t>first_legal_date</t>
        </is>
      </c>
      <c r="B15" s="12" t="inlineStr">
        <is>
          <t>newrez.portnewrezfc.firstlegaldate</t>
        </is>
      </c>
      <c r="C15" s="12" t="inlineStr">
        <is>
          <t>填充率57.6%（部分因Non-Judicial州正常）</t>
        </is>
      </c>
      <c r="D15" s="12" t="inlineStr">
        <is>
          <t>区分「未到达该阶段」与「未报告」</t>
        </is>
      </c>
    </row>
    <row r="16" ht="26" customHeight="1" s="74">
      <c r="A16" s="22" t="inlineStr">
        <is>
          <t>service_complete_date</t>
        </is>
      </c>
      <c r="B16" s="12" t="inlineStr">
        <is>
          <t>newrez.portnewrezfc.servicecompletedate</t>
        </is>
      </c>
      <c r="C16" s="12" t="inlineStr">
        <is>
          <t>填充率28.9%（早期阶段贷款正常）</t>
        </is>
      </c>
      <c r="D16" s="12" t="inlineStr">
        <is>
          <t>监控填充率趋势是否异常下降</t>
        </is>
      </c>
    </row>
    <row r="18" ht="18" customHeight="1" s="74">
      <c r="A18" s="113" t="inlineStr">
        <is>
          <t>C — P2 待补全字段（Newrez未提供，建议正式补全请求）</t>
        </is>
      </c>
      <c r="B18" s="70" t="n"/>
      <c r="C18" s="70" t="n"/>
      <c r="D18" s="71" t="n"/>
    </row>
    <row r="19" ht="22" customHeight="1" s="74">
      <c r="A19" s="4" t="inlineStr">
        <is>
          <t>标准接口字段</t>
        </is>
      </c>
      <c r="B19" s="4" t="inlineStr">
        <is>
          <t>Newrez字段状态</t>
        </is>
      </c>
      <c r="C19" s="4" t="inlineStr">
        <is>
          <t>缺失影响</t>
        </is>
      </c>
      <c r="D19" s="4" t="inlineStr">
        <is>
          <t>优先级 / 建议行动</t>
        </is>
      </c>
    </row>
    <row r="20" ht="52" customHeight="1" s="74">
      <c r="A20" s="23" t="inlineStr">
        <is>
          <t>noi_date</t>
        </is>
      </c>
      <c r="B20" s="13" t="inlineStr">
        <is>
          <t>(无专用字段)</t>
        </is>
      </c>
      <c r="C20" s="13" t="inlineStr">
        <is>
          <t>BPS timeline_notice_of_intent_date和Time Line Tab NOI列始终用demandsentdate代替</t>
        </is>
      </c>
      <c r="D20" s="13" t="inlineStr">
        <is>
          <t>P1 — 请求Newrez提供独立NOI日期字段</t>
        </is>
      </c>
    </row>
    <row r="21" ht="39" customHeight="1" s="74">
      <c r="A21" s="23" t="inlineStr">
        <is>
          <t>publication_date</t>
        </is>
      </c>
      <c r="B21" s="13" t="inlineStr">
        <is>
          <t>(无对应字段)</t>
        </is>
      </c>
      <c r="C21" s="13" t="inlineStr">
        <is>
          <t>BPS PUBLICATION阶段始终为空；Stage分类层从不触发PUBLICATION</t>
        </is>
      </c>
      <c r="D21" s="13" t="inlineStr">
        <is>
          <t>P2 — 正式补全请求</t>
        </is>
      </c>
    </row>
    <row r="22" ht="26" customHeight="1" s="74">
      <c r="A22" s="23" t="inlineStr">
        <is>
          <t>title_received_date</t>
        </is>
      </c>
      <c r="B22" s="13" t="inlineStr">
        <is>
          <t>newrez.portnewrezfc.titlereceiveddate (字段存在但始终为空)</t>
        </is>
      </c>
      <c r="C22" s="13" t="inlineStr">
        <is>
          <t>产权收到日期始终为空</t>
        </is>
      </c>
      <c r="D22" s="13" t="inlineStr">
        <is>
          <t>P2 — 正式补全请求</t>
        </is>
      </c>
    </row>
    <row r="23" ht="26" customHeight="1" s="74">
      <c r="A23" s="23" t="inlineStr">
        <is>
          <t>title_clear_date</t>
        </is>
      </c>
      <c r="B23" s="13" t="inlineStr">
        <is>
          <t>newrez.portnewrezfc.titlecleardate (字段存在但始终为空)</t>
        </is>
      </c>
      <c r="C23" s="13" t="inlineStr">
        <is>
          <t>初步/最终产权清除日期始终为空</t>
        </is>
      </c>
      <c r="D23" s="13" t="inlineStr">
        <is>
          <t>P2 — 正式补全请求</t>
        </is>
      </c>
    </row>
    <row r="24" ht="26" customHeight="1" s="74">
      <c r="A24" s="23" t="inlineStr">
        <is>
          <t>borrower_intentions</t>
        </is>
      </c>
      <c r="B24" s="13" t="inlineStr">
        <is>
          <t>newrez.portnewrezlm.borrowerintention (字段存在但始终为空)</t>
        </is>
      </c>
      <c r="C24" s="13" t="inlineStr">
        <is>
          <t>LM面板借款人意向列始终为空</t>
        </is>
      </c>
      <c r="D24" s="13" t="inlineStr">
        <is>
          <t>P2 — 正式补全请求</t>
        </is>
      </c>
    </row>
    <row r="25">
      <c r="A25" s="23" t="inlineStr">
        <is>
          <t>imminent_default</t>
        </is>
      </c>
      <c r="B25" s="13" t="inlineStr">
        <is>
          <t>(无对应字段)</t>
        </is>
      </c>
      <c r="C25" s="13" t="inlineStr">
        <is>
          <t>CFPB Reg X即将违约指标始终为空</t>
        </is>
      </c>
      <c r="D25" s="13" t="inlineStr">
        <is>
          <t>P2 — 正式补全请求 (CFPB Reg X 12 CFR 1024.41合规)</t>
        </is>
      </c>
    </row>
    <row r="26">
      <c r="A26" s="23" t="inlineStr">
        <is>
          <t>single_point_of_contact</t>
        </is>
      </c>
      <c r="B26" s="13" t="inlineStr">
        <is>
          <t>(无对应字段)</t>
        </is>
      </c>
      <c r="C26" s="13" t="inlineStr">
        <is>
          <t>CFPB Reg X专属联络员始终为空</t>
        </is>
      </c>
      <c r="D26" s="13" t="inlineStr">
        <is>
          <t>P2 — 正式补全请求 (CFPB Reg X 12 CFR 1024.40合规)</t>
        </is>
      </c>
    </row>
  </sheetData>
  <mergeCells count="3">
    <mergeCell ref="A1:D1"/>
    <mergeCell ref="A18:D18"/>
    <mergeCell ref="A11:D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8" customWidth="1" style="74" min="1" max="2"/>
    <col width="55" customWidth="1" style="74" min="3" max="3"/>
    <col width="8" customWidth="1" style="74" min="4" max="4"/>
    <col width="22" customWidth="1" style="74" min="5" max="5"/>
  </cols>
  <sheetData>
    <row r="1" ht="22" customHeight="1" s="74">
      <c r="A1" s="4" t="inlineStr">
        <is>
          <t>BPS面板</t>
        </is>
      </c>
      <c r="B1" s="4" t="inlineStr">
        <is>
          <t>UI功能列/显示项</t>
        </is>
      </c>
      <c r="C1" s="4" t="inlineStr">
        <is>
          <t>所需Servicer字段 (完整路径)</t>
        </is>
      </c>
      <c r="D1" s="4" t="inlineStr">
        <is>
          <t>优先级</t>
        </is>
      </c>
      <c r="E1" s="4" t="inlineStr">
        <is>
          <t>Newrez提供状态</t>
        </is>
      </c>
    </row>
    <row r="2" ht="26" customHeight="1" s="74">
      <c r="A2" s="12" t="inlineStr">
        <is>
          <t>FCL Milestone Timeline（时间轴面板）</t>
        </is>
      </c>
      <c r="B2" s="12" t="inlineStr">
        <is>
          <t>NOI日期</t>
        </is>
      </c>
      <c r="C2" s="12" t="inlineStr">
        <is>
          <t>newrez.portnewrezfc.demandsentdate</t>
        </is>
      </c>
      <c r="D2" s="12" t="inlineStr">
        <is>
          <t>P1</t>
        </is>
      </c>
      <c r="E2" s="7" t="inlineStr">
        <is>
          <t>✅</t>
        </is>
      </c>
    </row>
    <row r="3">
      <c r="A3" s="11" t="n"/>
      <c r="B3" s="11" t="inlineStr">
        <is>
          <t>Referral日期</t>
        </is>
      </c>
      <c r="C3" s="11" t="inlineStr">
        <is>
          <t>newrez.portnewrezfc.fcreferraldate</t>
        </is>
      </c>
      <c r="D3" s="11" t="inlineStr">
        <is>
          <t>P0</t>
        </is>
      </c>
      <c r="E3" s="7" t="inlineStr">
        <is>
          <t>✅</t>
        </is>
      </c>
    </row>
    <row r="4">
      <c r="A4" s="12" t="n"/>
      <c r="B4" s="12" t="inlineStr">
        <is>
          <t>First Legal日期</t>
        </is>
      </c>
      <c r="C4" s="12" t="inlineStr">
        <is>
          <t>newrez.portnewrezfc.firstlegaldate</t>
        </is>
      </c>
      <c r="D4" s="12" t="inlineStr">
        <is>
          <t>P1</t>
        </is>
      </c>
      <c r="E4" s="8" t="inlineStr">
        <is>
          <t>⚠️ 57.6%</t>
        </is>
      </c>
    </row>
    <row r="5">
      <c r="A5" s="12" t="n"/>
      <c r="B5" s="12" t="inlineStr">
        <is>
          <t>Service日期</t>
        </is>
      </c>
      <c r="C5" s="12" t="inlineStr">
        <is>
          <t>newrez.portnewrezfc.servicecompletedate</t>
        </is>
      </c>
      <c r="D5" s="12" t="inlineStr">
        <is>
          <t>P1</t>
        </is>
      </c>
      <c r="E5" s="8" t="inlineStr">
        <is>
          <t>⚠️ 28.9%</t>
        </is>
      </c>
    </row>
    <row r="6">
      <c r="A6" s="13" t="n"/>
      <c r="B6" s="13" t="inlineStr">
        <is>
          <t>Publication日期</t>
        </is>
      </c>
      <c r="C6" s="13" t="inlineStr">
        <is>
          <t>(Newrez未提供)</t>
        </is>
      </c>
      <c r="D6" s="13" t="inlineStr">
        <is>
          <t>P2</t>
        </is>
      </c>
      <c r="E6" s="6" t="inlineStr">
        <is>
          <t>❌</t>
        </is>
      </c>
    </row>
    <row r="7">
      <c r="A7" s="12" t="n"/>
      <c r="B7" s="12" t="inlineStr">
        <is>
          <t>Judgement日期</t>
        </is>
      </c>
      <c r="C7" s="12" t="inlineStr">
        <is>
          <t>newrez.portnewrezfc.fcjudgmenthearingscheduled</t>
        </is>
      </c>
      <c r="D7" s="12" t="inlineStr">
        <is>
          <t>P1</t>
        </is>
      </c>
      <c r="E7" s="7" t="inlineStr">
        <is>
          <t>✅ 11.9%</t>
        </is>
      </c>
    </row>
    <row r="8">
      <c r="A8" s="12" t="n"/>
      <c r="B8" s="12" t="inlineStr">
        <is>
          <t>Sale日期</t>
        </is>
      </c>
      <c r="C8" s="12" t="inlineStr">
        <is>
          <t>newrez.portnewrezfc.fcscheduledsaledate</t>
        </is>
      </c>
      <c r="D8" s="12" t="inlineStr">
        <is>
          <t>P1</t>
        </is>
      </c>
      <c r="E8" s="7" t="inlineStr">
        <is>
          <t>✅ 18.2%</t>
        </is>
      </c>
    </row>
    <row r="9" ht="26" customHeight="1" s="74">
      <c r="A9" s="18" t="n"/>
      <c r="B9" s="18" t="inlineStr">
        <is>
          <t>Foreclosure Completed</t>
        </is>
      </c>
      <c r="C9" s="18" t="inlineStr">
        <is>
          <t>newrez.portnewrezfc.dtdeedrecorded / newrez.portnewrezfc.fcremovaldate</t>
        </is>
      </c>
      <c r="D9" s="18" t="inlineStr">
        <is>
          <t>P1/P2</t>
        </is>
      </c>
      <c r="E9" s="7" t="inlineStr">
        <is>
          <t>✅</t>
        </is>
      </c>
    </row>
    <row r="10" ht="6" customHeight="1" s="74"/>
    <row r="11" ht="26" customHeight="1" s="74">
      <c r="A11" s="12" t="inlineStr">
        <is>
          <t>FCL Summary Panel（FCL摘要面板）</t>
        </is>
      </c>
      <c r="B11" s="12" t="inlineStr">
        <is>
          <t>Current Step（当前步骤）</t>
        </is>
      </c>
      <c r="C11" s="12" t="inlineStr">
        <is>
          <t>newrez.portnewrezfc.currentmilestone（优先）/ newrez.portnewrezfc.fcstage（备用）</t>
        </is>
      </c>
      <c r="D11" s="12" t="inlineStr">
        <is>
          <t>P1</t>
        </is>
      </c>
      <c r="E11" s="7" t="inlineStr">
        <is>
          <t>⚠️/✅</t>
        </is>
      </c>
    </row>
    <row r="12">
      <c r="A12" s="12" t="n"/>
      <c r="B12" s="12" t="inlineStr">
        <is>
          <t>Attorney（律师事务所）</t>
        </is>
      </c>
      <c r="C12" s="12" t="inlineStr">
        <is>
          <t>newrez.portnewrezfc.fcfirm</t>
        </is>
      </c>
      <c r="D12" s="12" t="inlineStr">
        <is>
          <t>P1</t>
        </is>
      </c>
      <c r="E12" s="7" t="inlineStr">
        <is>
          <t>✅ 100%</t>
        </is>
      </c>
    </row>
    <row r="13" ht="26" customHeight="1" s="74">
      <c r="A13" s="12" t="n"/>
      <c r="B13" s="12" t="inlineStr">
        <is>
          <t>SMS Days / Days in FCL</t>
        </is>
      </c>
      <c r="C13" s="12" t="inlineStr">
        <is>
          <t>newrez.portnewrezfc.smsdaysinfc + newrez.portnewrezfc.dataasof / newrez.portnewrezfc.daysinfc</t>
        </is>
      </c>
      <c r="D13" s="12" t="inlineStr">
        <is>
          <t>P1</t>
        </is>
      </c>
      <c r="E13" s="7" t="inlineStr">
        <is>
          <t>✅ 100%</t>
        </is>
      </c>
    </row>
    <row r="14">
      <c r="A14" s="12" t="n"/>
      <c r="B14" s="12" t="inlineStr">
        <is>
          <t>Sale Amount（成交金额）</t>
        </is>
      </c>
      <c r="C14" s="12" t="inlineStr">
        <is>
          <t>newrez.portnewrezfc.fcsaleamount</t>
        </is>
      </c>
      <c r="D14" s="12" t="inlineStr">
        <is>
          <t>P1</t>
        </is>
      </c>
      <c r="E14" s="8" t="inlineStr">
        <is>
          <t>⚠️ 4.7%</t>
        </is>
      </c>
    </row>
    <row r="15" ht="6" customHeight="1" s="74"/>
    <row r="16" ht="26" customHeight="1" s="74">
      <c r="A16" s="12" t="inlineStr">
        <is>
          <t>Hold Panel（Hold历史面板）</t>
        </is>
      </c>
      <c r="B16" s="12" t="inlineStr">
        <is>
          <t>Description / Start / End</t>
        </is>
      </c>
      <c r="C16" s="12" t="inlineStr">
        <is>
          <t>newrez.portnewrezfc.fchold1/2/3description / fchold1/2/3startdate / fchold1/2/3enddate</t>
        </is>
      </c>
      <c r="D16" s="12" t="inlineStr">
        <is>
          <t>P1</t>
        </is>
      </c>
      <c r="E16" s="7" t="inlineStr">
        <is>
          <t>✅</t>
        </is>
      </c>
    </row>
    <row r="17" ht="26" customHeight="1" s="74">
      <c r="A17" s="13" t="n"/>
      <c r="B17" s="13" t="inlineStr">
        <is>
          <t>Estimated Hold Days（预计Hold天数）</t>
        </is>
      </c>
      <c r="C17" s="13" t="inlineStr">
        <is>
          <t>newrez.portnewrezfc.fchold1/2/3projectedenddate</t>
        </is>
      </c>
      <c r="D17" s="13" t="inlineStr">
        <is>
          <t>P2</t>
        </is>
      </c>
      <c r="E17" s="7" t="inlineStr">
        <is>
          <t>✅</t>
        </is>
      </c>
    </row>
    <row r="18" ht="6" customHeight="1" s="74"/>
    <row r="19" ht="39" customHeight="1" s="74">
      <c r="A19" s="12" t="inlineStr">
        <is>
          <t>LM Cycle Panel（LM周期面板）</t>
        </is>
      </c>
      <c r="B19" s="12" t="inlineStr">
        <is>
          <t>Deal / Program / Status</t>
        </is>
      </c>
      <c r="C19" s="12" t="inlineStr">
        <is>
          <t>newrez.portnewrezlm.lmdeal+解码 / newrez.portnewrezlm.lmprogram+解码 / newrez.portnewrezlm.lmstatus+解码</t>
        </is>
      </c>
      <c r="D19" s="12" t="inlineStr">
        <is>
          <t>P1</t>
        </is>
      </c>
      <c r="E19" s="7" t="inlineStr">
        <is>
          <t>✅</t>
        </is>
      </c>
    </row>
    <row r="20" ht="26" customHeight="1" s="74">
      <c r="A20" s="12" t="n"/>
      <c r="B20" s="12" t="inlineStr">
        <is>
          <t>Cycle Opened/Closed</t>
        </is>
      </c>
      <c r="C20" s="12" t="inlineStr">
        <is>
          <t>newrez.portnewrezlm.dealstartdate / newrez.portnewrezlm.lmremovaldate</t>
        </is>
      </c>
      <c r="D20" s="12" t="inlineStr">
        <is>
          <t>P1</t>
        </is>
      </c>
      <c r="E20" s="7" t="inlineStr">
        <is>
          <t>✅</t>
        </is>
      </c>
    </row>
    <row r="21">
      <c r="A21" s="12" t="n"/>
      <c r="B21" s="12" t="inlineStr">
        <is>
          <t>Final Disposition</t>
        </is>
      </c>
      <c r="C21" s="12" t="inlineStr">
        <is>
          <t>newrez.portnewrezlm.lmdecision+解码</t>
        </is>
      </c>
      <c r="D21" s="12" t="inlineStr">
        <is>
          <t>P1</t>
        </is>
      </c>
      <c r="E21" s="7" t="inlineStr">
        <is>
          <t>✅</t>
        </is>
      </c>
    </row>
    <row r="22">
      <c r="A22" s="13" t="n"/>
      <c r="B22" s="13" t="inlineStr">
        <is>
          <t>Borrower Intentions</t>
        </is>
      </c>
      <c r="C22" s="13" t="inlineStr">
        <is>
          <t>newrez.portnewrezlm.borrowerintention+解码</t>
        </is>
      </c>
      <c r="D22" s="13" t="inlineStr">
        <is>
          <t>P2</t>
        </is>
      </c>
      <c r="E22" s="6" t="inlineStr">
        <is>
          <t>❌ (Newrez未提供)</t>
        </is>
      </c>
    </row>
    <row r="23">
      <c r="A23" s="13" t="n"/>
      <c r="B23" s="13" t="inlineStr">
        <is>
          <t>Imminent Default</t>
        </is>
      </c>
      <c r="C23" s="13" t="inlineStr">
        <is>
          <t>(Newrez未提供)</t>
        </is>
      </c>
      <c r="D23" s="13" t="inlineStr">
        <is>
          <t>P2</t>
        </is>
      </c>
      <c r="E23" s="6" t="inlineStr">
        <is>
          <t>❌</t>
        </is>
      </c>
    </row>
    <row r="24" ht="6" customHeight="1" s="74"/>
    <row r="25" ht="26" customHeight="1" s="74">
      <c r="A25" s="12" t="inlineStr">
        <is>
          <t>Bankruptcy Panel（破产面板）</t>
        </is>
      </c>
      <c r="B25" s="12" t="inlineStr">
        <is>
          <t>Chapter / Status / MFR</t>
        </is>
      </c>
      <c r="C25" s="12" t="inlineStr">
        <is>
          <t>newrez.portnewrezbk.bkchapter / newrez.portnewrezbk.bkstatus / newrez.portnewrezbk.mfrhearingresults</t>
        </is>
      </c>
      <c r="D25" s="12" t="inlineStr">
        <is>
          <t>P1</t>
        </is>
      </c>
      <c r="E25" s="7" t="inlineStr">
        <is>
          <t>⚠️/✅</t>
        </is>
      </c>
    </row>
    <row r="26" ht="26" customHeight="1" s="74">
      <c r="A26" s="12" t="n"/>
      <c r="B26" s="12" t="inlineStr">
        <is>
          <t>MFR Filed / POC Date</t>
        </is>
      </c>
      <c r="C26" s="12" t="inlineStr">
        <is>
          <t>newrez.portnewrezbk.mfrfileddate / newrez.portnewrezbk.pocfileddate</t>
        </is>
      </c>
      <c r="D26" s="12" t="inlineStr">
        <is>
          <t>P1</t>
        </is>
      </c>
      <c r="E26" s="7" t="inlineStr">
        <is>
          <t>✅</t>
        </is>
      </c>
    </row>
    <row r="27">
      <c r="A27" s="12" t="n"/>
      <c r="B27" s="12" t="inlineStr">
        <is>
          <t>Post Petition Due Date</t>
        </is>
      </c>
      <c r="C27" s="12" t="inlineStr">
        <is>
          <t>newrez.portnewrezbk.bkpostpetitionduedate</t>
        </is>
      </c>
      <c r="D27" s="12" t="inlineStr">
        <is>
          <t>P1</t>
        </is>
      </c>
      <c r="E27" s="7" t="inlineStr">
        <is>
          <t>✅</t>
        </is>
      </c>
    </row>
    <row r="28" ht="6" customHeight="1" s="74"/>
    <row r="29" ht="26" customHeight="1" s="74">
      <c r="A29" s="18" t="inlineStr">
        <is>
          <t>Aggregate Stage Tab（聚合阶段Tab）</t>
        </is>
      </c>
      <c r="B29" s="18" t="inlineStr">
        <is>
          <t>Stage分组</t>
        </is>
      </c>
      <c r="C29" s="18" t="inlineStr">
        <is>
          <t>newrez.portnewrezfc.fcreferraldate+firstlegaldate+servicecompletedate+fcjudgmenthearingscheduled+fcscheduledsaledate</t>
        </is>
      </c>
      <c r="D29" s="18" t="inlineStr">
        <is>
          <t>P0/P1</t>
        </is>
      </c>
      <c r="E29" s="7" t="inlineStr">
        <is>
          <t>✅</t>
        </is>
      </c>
    </row>
    <row r="30">
      <c r="A30" s="18" t="n"/>
      <c r="B30" s="18" t="inlineStr">
        <is>
          <t>Days in Stage（阶段天数）</t>
        </is>
      </c>
      <c r="C30" s="18" t="inlineStr">
        <is>
          <t>ETL从以上日期计算（BPS侧）</t>
        </is>
      </c>
      <c r="D30" s="18" t="inlineStr">
        <is>
          <t>N/A</t>
        </is>
      </c>
      <c r="E30" s="18" t="inlineStr">
        <is>
          <t>N/A</t>
        </is>
      </c>
    </row>
    <row r="31" ht="6" customHeight="1" s="74"/>
    <row r="32" ht="39" customHeight="1" s="74">
      <c r="A32" s="12" t="inlineStr">
        <is>
          <t>Aggregate Time Line Tab（聚合时间线Tab）</t>
        </is>
      </c>
      <c r="B32" s="12" t="inlineStr">
        <is>
          <t>NOI Date 1 ⚠️</t>
        </is>
      </c>
      <c r="C32" s="12" t="inlineStr">
        <is>
          <t>newrez.portnewrezfc.demandsentdate → demand_start_date（注意：非noi_start_date，Time Line Tab NOI列始终为空）</t>
        </is>
      </c>
      <c r="D32" s="12" t="inlineStr">
        <is>
          <t>P1</t>
        </is>
      </c>
      <c r="E32" s="7" t="inlineStr">
        <is>
          <t>✅</t>
        </is>
      </c>
    </row>
    <row r="33">
      <c r="A33" s="11" t="n"/>
      <c r="B33" s="11" t="inlineStr">
        <is>
          <t>Referral Date 2</t>
        </is>
      </c>
      <c r="C33" s="11" t="inlineStr">
        <is>
          <t>newrez.portnewrezfc.fcreferraldate → referral_start_date</t>
        </is>
      </c>
      <c r="D33" s="11" t="inlineStr">
        <is>
          <t>P0</t>
        </is>
      </c>
      <c r="E33" s="7" t="inlineStr">
        <is>
          <t>✅</t>
        </is>
      </c>
    </row>
    <row r="34">
      <c r="A34" s="12" t="n"/>
      <c r="B34" s="12" t="inlineStr">
        <is>
          <t>First Legal Date 3</t>
        </is>
      </c>
      <c r="C34" s="12" t="inlineStr">
        <is>
          <t>newrez.portnewrezfc.firstlegaldate → first_legal_start_date</t>
        </is>
      </c>
      <c r="D34" s="12" t="inlineStr">
        <is>
          <t>P1</t>
        </is>
      </c>
      <c r="E34" s="8" t="inlineStr">
        <is>
          <t>⚠️</t>
        </is>
      </c>
    </row>
    <row r="35">
      <c r="A35" s="12" t="n"/>
      <c r="B35" s="12" t="inlineStr">
        <is>
          <t>Service Date 4</t>
        </is>
      </c>
      <c r="C35" s="12" t="inlineStr">
        <is>
          <t>newrez.portnewrezfc.servicecompletedate → service_start_date</t>
        </is>
      </c>
      <c r="D35" s="12" t="inlineStr">
        <is>
          <t>P1</t>
        </is>
      </c>
      <c r="E35" s="8" t="inlineStr">
        <is>
          <t>⚠️</t>
        </is>
      </c>
    </row>
    <row r="36">
      <c r="A36" s="13" t="n"/>
      <c r="B36" s="13" t="inlineStr">
        <is>
          <t>Publication Date 5</t>
        </is>
      </c>
      <c r="C36" s="13" t="inlineStr">
        <is>
          <t>(Newrez未提供) → publication_start_date 始终为空</t>
        </is>
      </c>
      <c r="D36" s="13" t="inlineStr">
        <is>
          <t>P2</t>
        </is>
      </c>
      <c r="E36" s="6" t="inlineStr">
        <is>
          <t>❌</t>
        </is>
      </c>
    </row>
    <row r="37" ht="26" customHeight="1" s="74">
      <c r="A37" s="12" t="n"/>
      <c r="B37" s="12" t="inlineStr">
        <is>
          <t>Judgement Date 6</t>
        </is>
      </c>
      <c r="C37" s="12" t="inlineStr">
        <is>
          <t>newrez.portnewrezfc.fcjudgmenthearingscheduled → judgement_start_date</t>
        </is>
      </c>
      <c r="D37" s="12" t="inlineStr">
        <is>
          <t>P1</t>
        </is>
      </c>
      <c r="E37" s="7" t="inlineStr">
        <is>
          <t>✅</t>
        </is>
      </c>
    </row>
    <row r="38">
      <c r="A38" s="12" t="n"/>
      <c r="B38" s="12" t="inlineStr">
        <is>
          <t>Sale Date 7</t>
        </is>
      </c>
      <c r="C38" s="12" t="inlineStr">
        <is>
          <t>newrez.portnewrezfc.fcscheduledsaledate → sale_start_date</t>
        </is>
      </c>
      <c r="D38" s="12" t="inlineStr">
        <is>
          <t>P1</t>
        </is>
      </c>
      <c r="E38" s="7" t="inlineStr">
        <is>
          <t>✅</t>
        </is>
      </c>
    </row>
    <row r="39" ht="6" customHeight="1" s="74"/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5" customWidth="1" style="74" min="1" max="1"/>
    <col width="52" customWidth="1" style="74" min="2" max="2"/>
    <col width="14" customWidth="1" style="74" min="3" max="3"/>
    <col width="38" customWidth="1" style="74" min="4" max="4"/>
    <col width="52" customWidth="1" style="74" min="5" max="5"/>
    <col width="48" customWidth="1" style="74" min="6" max="6"/>
    <col width="14" customWidth="1" style="74" min="7" max="7"/>
  </cols>
  <sheetData>
    <row r="1" ht="22" customHeight="1" s="74">
      <c r="A1" s="4" t="inlineStr">
        <is>
          <t>BPS UI标签</t>
        </is>
      </c>
      <c r="B1" s="4" t="inlineStr">
        <is>
          <t>BPS字段 (完整路径)</t>
        </is>
      </c>
      <c r="C1" s="4" t="inlineStr">
        <is>
          <t>字段组</t>
        </is>
      </c>
      <c r="D1" s="4" t="inlineStr">
        <is>
          <t>BPS存储表</t>
        </is>
      </c>
      <c r="E1" s="4" t="inlineStr">
        <is>
          <t>Newrez原始字段 (完整路径)</t>
        </is>
      </c>
      <c r="F1" s="4" t="inlineStr">
        <is>
          <t>映射规则/计算逻辑</t>
        </is>
      </c>
      <c r="G1" s="4" t="inlineStr">
        <is>
          <t>Newrez填充率</t>
        </is>
      </c>
    </row>
    <row r="2" ht="18" customHeight="1" s="74">
      <c r="A2" s="119" t="inlineStr">
        <is>
          <t>timeline_* — FCL时间轴日期（19字段）
来源：newrez.portnewrezfc → bpms_dev.sync_loan_foreclosure</t>
        </is>
      </c>
      <c r="B2" s="70" t="n"/>
      <c r="C2" s="70" t="n"/>
      <c r="D2" s="70" t="n"/>
      <c r="E2" s="70" t="n"/>
      <c r="F2" s="70" t="n"/>
      <c r="G2" s="71" t="n"/>
    </row>
    <row r="3" ht="36" customHeight="1" s="74">
      <c r="A3" s="5" t="inlineStr">
        <is>
          <t>Milestone &gt; Notice of Intent Date</t>
        </is>
      </c>
      <c r="B3" s="24" t="inlineStr">
        <is>
          <t>bpms_dev.sync_loan_foreclosure.timeline_notice_of_intent_date</t>
        </is>
      </c>
      <c r="C3" s="5" t="inlineStr">
        <is>
          <t>timeline_*</t>
        </is>
      </c>
      <c r="D3" s="5" t="inlineStr">
        <is>
          <t>bpms_dev.sync_loan_foreclosure</t>
        </is>
      </c>
      <c r="E3" s="25" t="inlineStr">
        <is>
          <t>newrez.portnewrezfc.demandsentdate</t>
        </is>
      </c>
      <c r="F3" s="5" t="inlineStr">
        <is>
          <t>直接映射</t>
        </is>
      </c>
      <c r="G3" s="5" t="inlineStr">
        <is>
          <t>85.9%</t>
        </is>
      </c>
    </row>
    <row r="4" ht="36" customHeight="1" s="74">
      <c r="A4" s="5" t="inlineStr">
        <is>
          <t>Milestone &gt; Notice of Intent End Date</t>
        </is>
      </c>
      <c r="B4" s="24" t="inlineStr">
        <is>
          <t>bpms_dev.sync_loan_foreclosure.timeline_notice_of_intent_end_date</t>
        </is>
      </c>
      <c r="C4" s="5" t="inlineStr">
        <is>
          <t>timeline_*</t>
        </is>
      </c>
      <c r="D4" s="5" t="inlineStr">
        <is>
          <t>bpms_dev.sync_loan_foreclosure</t>
        </is>
      </c>
      <c r="E4" s="25" t="inlineStr">
        <is>
          <t>newrez.portnewrezfc.demandexpirationdate</t>
        </is>
      </c>
      <c r="F4" s="5" t="inlineStr">
        <is>
          <t>直接映射</t>
        </is>
      </c>
      <c r="G4" s="5" t="inlineStr">
        <is>
          <t>85.7%</t>
        </is>
      </c>
    </row>
    <row r="5" ht="36" customHeight="1" s="74">
      <c r="A5" s="5" t="inlineStr">
        <is>
          <t>Milestone &gt; Approved for Referral Date</t>
        </is>
      </c>
      <c r="B5" s="24" t="inlineStr">
        <is>
          <t>bpms_dev.sync_loan_foreclosure.timeline_approved_for_referral_date</t>
        </is>
      </c>
      <c r="C5" s="5" t="inlineStr">
        <is>
          <t>timeline_*</t>
        </is>
      </c>
      <c r="D5" s="5" t="inlineStr">
        <is>
          <t>bpms_dev.sync_loan_foreclosure</t>
        </is>
      </c>
      <c r="E5" s="25" t="inlineStr">
        <is>
          <t>newrez.portnewrezfc.fcsetupdate</t>
        </is>
      </c>
      <c r="F5" s="5" t="inlineStr">
        <is>
          <t>直接映射</t>
        </is>
      </c>
      <c r="G5" s="5" t="inlineStr">
        <is>
          <t>100%</t>
        </is>
      </c>
    </row>
    <row r="6" ht="36" customHeight="1" s="74">
      <c r="A6" s="5" t="inlineStr">
        <is>
          <t>Milestone &gt; Referred to Attorney Date</t>
        </is>
      </c>
      <c r="B6" s="24" t="inlineStr">
        <is>
          <t>bpms_dev.sync_loan_foreclosure.timeline_referred_to_attorney_date</t>
        </is>
      </c>
      <c r="C6" s="5" t="inlineStr">
        <is>
          <t>timeline_*</t>
        </is>
      </c>
      <c r="D6" s="5" t="inlineStr">
        <is>
          <t>bpms_dev.sync_loan_foreclosure</t>
        </is>
      </c>
      <c r="E6" s="25" t="inlineStr">
        <is>
          <t>newrez.portnewrezfc.fcreferraldate</t>
        </is>
      </c>
      <c r="F6" s="5" t="inlineStr">
        <is>
          <t>直接映射（Newrez通常与fcsetupdate同日）</t>
        </is>
      </c>
      <c r="G6" s="5" t="inlineStr">
        <is>
          <t>100%</t>
        </is>
      </c>
    </row>
    <row r="7" ht="36" customHeight="1" s="74">
      <c r="A7" s="5" t="inlineStr">
        <is>
          <t>Milestone &gt; Referred to Foreclosure Date</t>
        </is>
      </c>
      <c r="B7" s="24" t="inlineStr">
        <is>
          <t>bpms_dev.sync_loan_foreclosure.timeline_referred_to_foreclosure_date</t>
        </is>
      </c>
      <c r="C7" s="5" t="inlineStr">
        <is>
          <t>timeline_*</t>
        </is>
      </c>
      <c r="D7" s="5" t="inlineStr">
        <is>
          <t>bpms_dev.sync_loan_foreclosure</t>
        </is>
      </c>
      <c r="E7" s="25" t="inlineStr">
        <is>
          <t>newrez.portnewrezfc.fcreferraldate</t>
        </is>
      </c>
      <c r="F7" s="5" t="inlineStr">
        <is>
          <t>直接映射；BPS入库过滤字段（非空为条件）</t>
        </is>
      </c>
      <c r="G7" s="5" t="inlineStr">
        <is>
          <t>100%</t>
        </is>
      </c>
    </row>
    <row r="8" ht="36" customHeight="1" s="74">
      <c r="A8" s="5" t="inlineStr">
        <is>
          <t>Milestone &gt; Title Report Received Date</t>
        </is>
      </c>
      <c r="B8" s="24" t="inlineStr">
        <is>
          <t>bpms_dev.sync_loan_foreclosure.timeline_title_report_received_date</t>
        </is>
      </c>
      <c r="C8" s="5" t="inlineStr">
        <is>
          <t>timeline_*</t>
        </is>
      </c>
      <c r="D8" s="5" t="inlineStr">
        <is>
          <t>bpms_dev.sync_loan_foreclosure</t>
        </is>
      </c>
      <c r="E8" s="25" t="inlineStr">
        <is>
          <t>newrez.portnewrezfc.titlereceiveddate</t>
        </is>
      </c>
      <c r="F8" s="5" t="inlineStr">
        <is>
          <t>直接映射；Newrez始终为空</t>
        </is>
      </c>
      <c r="G8" s="5" t="inlineStr">
        <is>
          <t>0%</t>
        </is>
      </c>
    </row>
    <row r="9" ht="36" customHeight="1" s="74">
      <c r="A9" s="5" t="inlineStr">
        <is>
          <t>Milestone &gt; Preliminary Title Cleared Date</t>
        </is>
      </c>
      <c r="B9" s="24" t="inlineStr">
        <is>
          <t>bpms_dev.sync_loan_foreclosure.timeline_preliminary_title_cleared_date</t>
        </is>
      </c>
      <c r="C9" s="5" t="inlineStr">
        <is>
          <t>timeline_*</t>
        </is>
      </c>
      <c r="D9" s="5" t="inlineStr">
        <is>
          <t>bpms_dev.sync_loan_foreclosure</t>
        </is>
      </c>
      <c r="E9" s="25" t="inlineStr">
        <is>
          <t>newrez.portnewrezfc.titlecleardate</t>
        </is>
      </c>
      <c r="F9" s="5" t="inlineStr">
        <is>
          <t>直接映射（初步清除）；Newrez始终为空</t>
        </is>
      </c>
      <c r="G9" s="5" t="inlineStr">
        <is>
          <t>0%</t>
        </is>
      </c>
    </row>
    <row r="10" ht="36" customHeight="1" s="74">
      <c r="A10" s="5" t="inlineStr">
        <is>
          <t>Milestone &gt; First Legal Date</t>
        </is>
      </c>
      <c r="B10" s="24" t="inlineStr">
        <is>
          <t>bpms_dev.sync_loan_foreclosure.timeline_first_legal_date</t>
        </is>
      </c>
      <c r="C10" s="5" t="inlineStr">
        <is>
          <t>timeline_*</t>
        </is>
      </c>
      <c r="D10" s="5" t="inlineStr">
        <is>
          <t>bpms_dev.sync_loan_foreclosure</t>
        </is>
      </c>
      <c r="E10" s="25" t="inlineStr">
        <is>
          <t>newrez.portnewrezfc.firstlegaldate</t>
        </is>
      </c>
      <c r="F10" s="5" t="inlineStr">
        <is>
          <t>直接映射；Non-Judicial州可为空</t>
        </is>
      </c>
      <c r="G10" s="5" t="inlineStr">
        <is>
          <t>57.6%</t>
        </is>
      </c>
    </row>
    <row r="11" ht="36" customHeight="1" s="74">
      <c r="A11" s="5" t="inlineStr">
        <is>
          <t>Milestone &gt; Service Date</t>
        </is>
      </c>
      <c r="B11" s="24" t="inlineStr">
        <is>
          <t>bpms_dev.sync_loan_foreclosure.timeline_service_date</t>
        </is>
      </c>
      <c r="C11" s="5" t="inlineStr">
        <is>
          <t>timeline_*</t>
        </is>
      </c>
      <c r="D11" s="5" t="inlineStr">
        <is>
          <t>bpms_dev.sync_loan_foreclosure</t>
        </is>
      </c>
      <c r="E11" s="25" t="inlineStr">
        <is>
          <t>newrez.portnewrezfc.servicecompletedate</t>
        </is>
      </c>
      <c r="F11" s="5" t="inlineStr">
        <is>
          <t>直接映射</t>
        </is>
      </c>
      <c r="G11" s="5" t="inlineStr">
        <is>
          <t>28.9%</t>
        </is>
      </c>
    </row>
    <row r="12" ht="36" customHeight="1" s="74">
      <c r="A12" s="5" t="inlineStr">
        <is>
          <t>Milestone &gt; Publication Date</t>
        </is>
      </c>
      <c r="B12" s="24" t="inlineStr">
        <is>
          <t>bpms_dev.sync_loan_foreclosure.timeline_publication_date</t>
        </is>
      </c>
      <c r="C12" s="5" t="inlineStr">
        <is>
          <t>timeline_*</t>
        </is>
      </c>
      <c r="D12" s="5" t="inlineStr">
        <is>
          <t>bpms_dev.sync_loan_foreclosure</t>
        </is>
      </c>
      <c r="E12" s="25" t="inlineStr">
        <is>
          <t>(无对应Newrez字段)</t>
        </is>
      </c>
      <c r="F12" s="5" t="inlineStr">
        <is>
          <t>Newrez不报告；BPS始终为空</t>
        </is>
      </c>
      <c r="G12" s="5" t="inlineStr">
        <is>
          <t>0%</t>
        </is>
      </c>
    </row>
    <row r="13" ht="36" customHeight="1" s="74">
      <c r="A13" s="5" t="inlineStr">
        <is>
          <t>Milestone &gt; Judgement Hearing Set Date</t>
        </is>
      </c>
      <c r="B13" s="24" t="inlineStr">
        <is>
          <t>bpms_dev.sync_loan_foreclosure.timeline_judgement_hearing_set_date</t>
        </is>
      </c>
      <c r="C13" s="5" t="inlineStr">
        <is>
          <t>timeline_*</t>
        </is>
      </c>
      <c r="D13" s="5" t="inlineStr">
        <is>
          <t>bpms_dev.sync_loan_foreclosure</t>
        </is>
      </c>
      <c r="E13" s="25" t="inlineStr">
        <is>
          <t>newrez.portnewrezfc.fcjudgmenthearingscheduled</t>
        </is>
      </c>
      <c r="F13" s="5" t="inlineStr">
        <is>
          <t>直接映射；仅Judicial州</t>
        </is>
      </c>
      <c r="G13" s="5" t="inlineStr">
        <is>
          <t>11.9%</t>
        </is>
      </c>
    </row>
    <row r="14" ht="36" customHeight="1" s="74">
      <c r="A14" s="5" t="inlineStr">
        <is>
          <t>Milestone &gt; Judgement Date</t>
        </is>
      </c>
      <c r="B14" s="24" t="inlineStr">
        <is>
          <t>bpms_dev.sync_loan_foreclosure.timeline_judgement_date</t>
        </is>
      </c>
      <c r="C14" s="5" t="inlineStr">
        <is>
          <t>timeline_*</t>
        </is>
      </c>
      <c r="D14" s="5" t="inlineStr">
        <is>
          <t>bpms_dev.sync_loan_foreclosure</t>
        </is>
      </c>
      <c r="E14" s="25" t="inlineStr">
        <is>
          <t>newrez.portnewrezfc.fcjudgmententered</t>
        </is>
      </c>
      <c r="F14" s="5" t="inlineStr">
        <is>
          <t>直接映射；仅Judicial州（ETL代码：fcjudgment_hearing_scheduled AS timeline_judgement_date）</t>
        </is>
      </c>
      <c r="G14" s="5" t="inlineStr">
        <is>
          <t>7.9%</t>
        </is>
      </c>
    </row>
    <row r="15" ht="36" customHeight="1" s="74">
      <c r="A15" s="5" t="inlineStr">
        <is>
          <t>Milestone &gt; Projected Sale Date</t>
        </is>
      </c>
      <c r="B15" s="24" t="inlineStr">
        <is>
          <t>bpms_dev.sync_loan_foreclosure.timeline_sale_date_projected_date</t>
        </is>
      </c>
      <c r="C15" s="5" t="inlineStr">
        <is>
          <t>timeline_*</t>
        </is>
      </c>
      <c r="D15" s="5" t="inlineStr">
        <is>
          <t>bpms_dev.sync_loan_foreclosure</t>
        </is>
      </c>
      <c r="E15" s="25" t="inlineStr">
        <is>
          <t>newrez.portnewrezfc.fcscheduledsaledate</t>
        </is>
      </c>
      <c r="F15" s="5" t="inlineStr">
        <is>
          <t>直接映射</t>
        </is>
      </c>
      <c r="G15" s="5" t="inlineStr">
        <is>
          <t>18.2%</t>
        </is>
      </c>
    </row>
    <row r="16" ht="36" customHeight="1" s="74">
      <c r="A16" s="5" t="inlineStr">
        <is>
          <t>Milestone &gt; Sale Date Set</t>
        </is>
      </c>
      <c r="B16" s="24" t="inlineStr">
        <is>
          <t>bpms_dev.sync_loan_foreclosure.timeline_sale_date_set_date</t>
        </is>
      </c>
      <c r="C16" s="5" t="inlineStr">
        <is>
          <t>timeline_*</t>
        </is>
      </c>
      <c r="D16" s="5" t="inlineStr">
        <is>
          <t>bpms_dev.sync_loan_foreclosure</t>
        </is>
      </c>
      <c r="E16" s="25" t="inlineStr">
        <is>
          <t>newrez.portnewrezfc.fcscheduledsaledate</t>
        </is>
      </c>
      <c r="F16" s="5" t="inlineStr">
        <is>
          <t>直接映射（与Projected同源；BPS内部状态逻辑区分）</t>
        </is>
      </c>
      <c r="G16" s="5" t="inlineStr">
        <is>
          <t>18.2%</t>
        </is>
      </c>
    </row>
    <row r="17" ht="36" customHeight="1" s="74">
      <c r="A17" s="5" t="inlineStr">
        <is>
          <t>Milestone &gt; Final Title Cleared Date</t>
        </is>
      </c>
      <c r="B17" s="24" t="inlineStr">
        <is>
          <t>bpms_dev.sync_loan_foreclosure.timeline_final_title_cleared_date</t>
        </is>
      </c>
      <c r="C17" s="5" t="inlineStr">
        <is>
          <t>timeline_*</t>
        </is>
      </c>
      <c r="D17" s="5" t="inlineStr">
        <is>
          <t>bpms_dev.sync_loan_foreclosure</t>
        </is>
      </c>
      <c r="E17" s="25" t="inlineStr">
        <is>
          <t>newrez.portnewrezfc.titlecleardate</t>
        </is>
      </c>
      <c r="F17" s="5" t="inlineStr">
        <is>
          <t>直接映射（最终清除）；Newrez始终为空</t>
        </is>
      </c>
      <c r="G17" s="5" t="inlineStr">
        <is>
          <t>0%</t>
        </is>
      </c>
    </row>
    <row r="18" ht="36" customHeight="1" s="74">
      <c r="A18" s="5" t="inlineStr">
        <is>
          <t>Milestone &gt; Sale Date Held</t>
        </is>
      </c>
      <c r="B18" s="24" t="inlineStr">
        <is>
          <t>bpms_dev.sync_loan_foreclosure.timeline_sale_date_held_date</t>
        </is>
      </c>
      <c r="C18" s="5" t="inlineStr">
        <is>
          <t>timeline_*</t>
        </is>
      </c>
      <c r="D18" s="5" t="inlineStr">
        <is>
          <t>bpms_dev.sync_loan_foreclosure</t>
        </is>
      </c>
      <c r="E18" s="25" t="inlineStr">
        <is>
          <t>newrez.portnewrezfc.fcsalehelddate</t>
        </is>
      </c>
      <c r="F18" s="5" t="inlineStr">
        <is>
          <t>直接映射</t>
        </is>
      </c>
      <c r="G18" s="5" t="inlineStr">
        <is>
          <t>2.1%</t>
        </is>
      </c>
    </row>
    <row r="19" ht="36" customHeight="1" s="74">
      <c r="A19" s="5" t="inlineStr">
        <is>
          <t>Milestone &gt; Foreclosure Completed Date</t>
        </is>
      </c>
      <c r="B19" s="24" t="inlineStr">
        <is>
          <t>bpms_dev.sync_loan_foreclosure.timeline_foreclosure_completed_date</t>
        </is>
      </c>
      <c r="C19" s="5" t="inlineStr">
        <is>
          <t>timeline_*</t>
        </is>
      </c>
      <c r="D19" s="5" t="inlineStr">
        <is>
          <t>bpms_dev.sync_loan_foreclosure</t>
        </is>
      </c>
      <c r="E19" s="25" t="inlineStr">
        <is>
          <t>newrez.portnewrezfc.dtdeedrecorded / newrez.portnewrezfc.fcremovaldate</t>
        </is>
      </c>
      <c r="F19" s="5" t="inlineStr">
        <is>
          <t>COALESCE(dtdeedrecorded, fcremovaldate)</t>
        </is>
      </c>
      <c r="G19" s="5" t="inlineStr">
        <is>
          <t>~2.0%</t>
        </is>
      </c>
    </row>
    <row r="20" ht="36" customHeight="1" s="74">
      <c r="A20" s="5" t="inlineStr">
        <is>
          <t>Milestone &gt; Third Party Sold Date</t>
        </is>
      </c>
      <c r="B20" s="24" t="inlineStr">
        <is>
          <t>bpms_dev.sync_loan_foreclosure.timeline_third_party_sold_date_date</t>
        </is>
      </c>
      <c r="C20" s="5" t="inlineStr">
        <is>
          <t>timeline_*</t>
        </is>
      </c>
      <c r="D20" s="5" t="inlineStr">
        <is>
          <t>bpms_dev.sync_loan_foreclosure</t>
        </is>
      </c>
      <c r="E20" s="25" t="inlineStr">
        <is>
          <t>newrez.portnewrezfc.fcsalehelddate</t>
        </is>
      </c>
      <c r="F20" s="5" t="inlineStr">
        <is>
          <t>当 fcresults='3rd Party' 时使用fcsalehelddate</t>
        </is>
      </c>
      <c r="G20" s="5" t="inlineStr">
        <is>
          <t>~2.0%</t>
        </is>
      </c>
    </row>
    <row r="21" ht="36" customHeight="1" s="74">
      <c r="A21" s="5" t="inlineStr">
        <is>
          <t>Milestone &gt; Third Party Proceeds Received</t>
        </is>
      </c>
      <c r="B21" s="24" t="inlineStr">
        <is>
          <t>bpms_dev.sync_loan_foreclosure.timeline_third_party_proceeds_received_date</t>
        </is>
      </c>
      <c r="C21" s="5" t="inlineStr">
        <is>
          <t>timeline_*</t>
        </is>
      </c>
      <c r="D21" s="5" t="inlineStr">
        <is>
          <t>bpms_dev.sync_loan_foreclosure</t>
        </is>
      </c>
      <c r="E21" s="25" t="inlineStr">
        <is>
          <t>newrez.portnewrezfc.fcl3rdpartyproceedsreceiveddate</t>
        </is>
      </c>
      <c r="F21" s="5" t="inlineStr">
        <is>
          <t>直接映射</t>
        </is>
      </c>
      <c r="G21" s="5" t="inlineStr">
        <is>
          <t>~0%</t>
        </is>
      </c>
    </row>
    <row r="22" ht="18" customHeight="1" s="74">
      <c r="A22" s="119" t="inlineStr">
        <is>
          <t>target_* — 各阶段目标天数（16字段）
来源：系统配置常量（非Newrez数据）→ bpms_dev.sync_loan_foreclosure</t>
        </is>
      </c>
      <c r="B22" s="70" t="n"/>
      <c r="C22" s="70" t="n"/>
      <c r="D22" s="70" t="n"/>
      <c r="E22" s="70" t="n"/>
      <c r="F22" s="70" t="n"/>
      <c r="G22" s="71" t="n"/>
    </row>
    <row r="23" ht="36" customHeight="1" s="74">
      <c r="A23" s="5" t="inlineStr">
        <is>
          <t>Target Days &gt; Notice of Intent</t>
        </is>
      </c>
      <c r="B23" s="24" t="inlineStr">
        <is>
          <t>bpms_dev.sync_loan_foreclosure.target_notice_of_intent_days</t>
        </is>
      </c>
      <c r="C23" s="5" t="inlineStr">
        <is>
          <t>target_*</t>
        </is>
      </c>
      <c r="D23" s="5" t="inlineStr">
        <is>
          <t>bpms_dev.sync_loan_foreclosure</t>
        </is>
      </c>
      <c r="E23" s="25" t="inlineStr">
        <is>
          <t>系统配置常量</t>
        </is>
      </c>
      <c r="F23" s="5" t="inlineStr">
        <is>
          <t>配置常量（默认30天）</t>
        </is>
      </c>
      <c r="G23" s="5" t="inlineStr">
        <is>
          <t>N/A</t>
        </is>
      </c>
    </row>
    <row r="24" ht="36" customHeight="1" s="74">
      <c r="A24" s="5" t="inlineStr">
        <is>
          <t>Target Days &gt; Notice of Intent Expiration</t>
        </is>
      </c>
      <c r="B24" s="24" t="inlineStr">
        <is>
          <t>bpms_dev.sync_loan_foreclosure.target_notice_of_intent_expired_days</t>
        </is>
      </c>
      <c r="C24" s="5" t="inlineStr">
        <is>
          <t>target_*</t>
        </is>
      </c>
      <c r="D24" s="5" t="inlineStr">
        <is>
          <t>bpms_dev.sync_loan_foreclosure</t>
        </is>
      </c>
      <c r="E24" s="25" t="inlineStr">
        <is>
          <t>系统配置常量</t>
        </is>
      </c>
      <c r="F24" s="5" t="inlineStr">
        <is>
          <t>配置常量（默认90天）</t>
        </is>
      </c>
      <c r="G24" s="5" t="inlineStr">
        <is>
          <t>N/A</t>
        </is>
      </c>
    </row>
    <row r="25" ht="36" customHeight="1" s="74">
      <c r="A25" s="5" t="inlineStr">
        <is>
          <t>Target Days &gt; Approved for Referral</t>
        </is>
      </c>
      <c r="B25" s="24" t="inlineStr">
        <is>
          <t>bpms_dev.sync_loan_foreclosure.target_approved_for_referral_days</t>
        </is>
      </c>
      <c r="C25" s="5" t="inlineStr">
        <is>
          <t>target_*</t>
        </is>
      </c>
      <c r="D25" s="5" t="inlineStr">
        <is>
          <t>bpms_dev.sync_loan_foreclosure</t>
        </is>
      </c>
      <c r="E25" s="25" t="inlineStr">
        <is>
          <t>系统配置常量</t>
        </is>
      </c>
      <c r="F25" s="5" t="inlineStr">
        <is>
          <t>配置常量（默认30天）</t>
        </is>
      </c>
      <c r="G25" s="5" t="inlineStr">
        <is>
          <t>N/A</t>
        </is>
      </c>
    </row>
    <row r="26" ht="36" customHeight="1" s="74">
      <c r="A26" s="5" t="inlineStr">
        <is>
          <t>Target Days &gt; Referred to Attorney</t>
        </is>
      </c>
      <c r="B26" s="24" t="inlineStr">
        <is>
          <t>bpms_dev.sync_loan_foreclosure.target_referred_to_attorney_days</t>
        </is>
      </c>
      <c r="C26" s="5" t="inlineStr">
        <is>
          <t>target_*</t>
        </is>
      </c>
      <c r="D26" s="5" t="inlineStr">
        <is>
          <t>bpms_dev.sync_loan_foreclosure</t>
        </is>
      </c>
      <c r="E26" s="25" t="inlineStr">
        <is>
          <t>系统配置常量</t>
        </is>
      </c>
      <c r="F26" s="5" t="inlineStr">
        <is>
          <t>配置常量（默认1天）</t>
        </is>
      </c>
      <c r="G26" s="5" t="inlineStr">
        <is>
          <t>N/A</t>
        </is>
      </c>
    </row>
    <row r="27" ht="36" customHeight="1" s="74">
      <c r="A27" s="5" t="inlineStr">
        <is>
          <t>Target Days &gt; Referred to Foreclosure</t>
        </is>
      </c>
      <c r="B27" s="24" t="inlineStr">
        <is>
          <t>bpms_dev.sync_loan_foreclosure.target_referred_to_foreclosure_days</t>
        </is>
      </c>
      <c r="C27" s="5" t="inlineStr">
        <is>
          <t>target_*</t>
        </is>
      </c>
      <c r="D27" s="5" t="inlineStr">
        <is>
          <t>bpms_dev.sync_loan_foreclosure</t>
        </is>
      </c>
      <c r="E27" s="25" t="inlineStr">
        <is>
          <t>系统配置常量</t>
        </is>
      </c>
      <c r="F27" s="5" t="inlineStr">
        <is>
          <t>配置常量（默认1天）</t>
        </is>
      </c>
      <c r="G27" s="5" t="inlineStr">
        <is>
          <t>N/A</t>
        </is>
      </c>
    </row>
    <row r="28" ht="36" customHeight="1" s="74">
      <c r="A28" s="5" t="inlineStr">
        <is>
          <t>Target Days &gt; Title Report Received</t>
        </is>
      </c>
      <c r="B28" s="24" t="inlineStr">
        <is>
          <t>bpms_dev.sync_loan_foreclosure.target_title_report_received_days</t>
        </is>
      </c>
      <c r="C28" s="5" t="inlineStr">
        <is>
          <t>target_*</t>
        </is>
      </c>
      <c r="D28" s="5" t="inlineStr">
        <is>
          <t>bpms_dev.sync_loan_foreclosure</t>
        </is>
      </c>
      <c r="E28" s="25" t="inlineStr">
        <is>
          <t>系统配置常量</t>
        </is>
      </c>
      <c r="F28" s="5" t="inlineStr">
        <is>
          <t>配置常量（默认30天）</t>
        </is>
      </c>
      <c r="G28" s="5" t="inlineStr">
        <is>
          <t>N/A</t>
        </is>
      </c>
    </row>
    <row r="29" ht="36" customHeight="1" s="74">
      <c r="A29" s="5" t="inlineStr">
        <is>
          <t>Target Days &gt; Preliminary Title Cleared</t>
        </is>
      </c>
      <c r="B29" s="24" t="inlineStr">
        <is>
          <t>bpms_dev.sync_loan_foreclosure.target_preliminary_title_cleared_days</t>
        </is>
      </c>
      <c r="C29" s="5" t="inlineStr">
        <is>
          <t>target_*</t>
        </is>
      </c>
      <c r="D29" s="5" t="inlineStr">
        <is>
          <t>bpms_dev.sync_loan_foreclosure</t>
        </is>
      </c>
      <c r="E29" s="25" t="inlineStr">
        <is>
          <t>系统配置常量</t>
        </is>
      </c>
      <c r="F29" s="5" t="inlineStr">
        <is>
          <t>配置常量（默认30天）</t>
        </is>
      </c>
      <c r="G29" s="5" t="inlineStr">
        <is>
          <t>N/A</t>
        </is>
      </c>
    </row>
    <row r="30" ht="36" customHeight="1" s="74">
      <c r="A30" s="5" t="inlineStr">
        <is>
          <t>Target Days &gt; First Legal</t>
        </is>
      </c>
      <c r="B30" s="24" t="inlineStr">
        <is>
          <t>bpms_dev.sync_loan_foreclosure.target_first_legal_days</t>
        </is>
      </c>
      <c r="C30" s="5" t="inlineStr">
        <is>
          <t>target_*</t>
        </is>
      </c>
      <c r="D30" s="5" t="inlineStr">
        <is>
          <t>bpms_dev.sync_loan_foreclosure</t>
        </is>
      </c>
      <c r="E30" s="25" t="inlineStr">
        <is>
          <t>系统配置常量</t>
        </is>
      </c>
      <c r="F30" s="5" t="inlineStr">
        <is>
          <t>配置常量（默认120天）</t>
        </is>
      </c>
      <c r="G30" s="5" t="inlineStr">
        <is>
          <t>N/A</t>
        </is>
      </c>
    </row>
    <row r="31" ht="36" customHeight="1" s="74">
      <c r="A31" s="5" t="inlineStr">
        <is>
          <t>Target Days &gt; Service</t>
        </is>
      </c>
      <c r="B31" s="24" t="inlineStr">
        <is>
          <t>bpms_dev.sync_loan_foreclosure.target_service_days</t>
        </is>
      </c>
      <c r="C31" s="5" t="inlineStr">
        <is>
          <t>target_*</t>
        </is>
      </c>
      <c r="D31" s="5" t="inlineStr">
        <is>
          <t>bpms_dev.sync_loan_foreclosure</t>
        </is>
      </c>
      <c r="E31" s="25" t="inlineStr">
        <is>
          <t>系统配置常量</t>
        </is>
      </c>
      <c r="F31" s="5" t="inlineStr">
        <is>
          <t>配置常量（默认90天）</t>
        </is>
      </c>
      <c r="G31" s="5" t="inlineStr">
        <is>
          <t>N/A</t>
        </is>
      </c>
    </row>
    <row r="32" ht="36" customHeight="1" s="74">
      <c r="A32" s="5" t="inlineStr">
        <is>
          <t>Target Days &gt; Publication</t>
        </is>
      </c>
      <c r="B32" s="24" t="inlineStr">
        <is>
          <t>bpms_dev.sync_loan_foreclosure.target_publication_days</t>
        </is>
      </c>
      <c r="C32" s="5" t="inlineStr">
        <is>
          <t>target_*</t>
        </is>
      </c>
      <c r="D32" s="5" t="inlineStr">
        <is>
          <t>bpms_dev.sync_loan_foreclosure</t>
        </is>
      </c>
      <c r="E32" s="25" t="inlineStr">
        <is>
          <t>系统配置常量</t>
        </is>
      </c>
      <c r="F32" s="5" t="inlineStr">
        <is>
          <t>配置常量（默认30天）</t>
        </is>
      </c>
      <c r="G32" s="5" t="inlineStr">
        <is>
          <t>N/A</t>
        </is>
      </c>
    </row>
    <row r="33" ht="36" customHeight="1" s="74">
      <c r="A33" s="5" t="inlineStr">
        <is>
          <t>Target Days &gt; Judgement Hearing Set</t>
        </is>
      </c>
      <c r="B33" s="24" t="inlineStr">
        <is>
          <t>bpms_dev.sync_loan_foreclosure.target_judgement_hearing_set_days</t>
        </is>
      </c>
      <c r="C33" s="5" t="inlineStr">
        <is>
          <t>target_*</t>
        </is>
      </c>
      <c r="D33" s="5" t="inlineStr">
        <is>
          <t>bpms_dev.sync_loan_foreclosure</t>
        </is>
      </c>
      <c r="E33" s="25" t="inlineStr">
        <is>
          <t>系统配置常量</t>
        </is>
      </c>
      <c r="F33" s="5" t="inlineStr">
        <is>
          <t>配置常量（默认120天）</t>
        </is>
      </c>
      <c r="G33" s="5" t="inlineStr">
        <is>
          <t>N/A</t>
        </is>
      </c>
    </row>
    <row r="34" ht="36" customHeight="1" s="74">
      <c r="A34" s="5" t="inlineStr">
        <is>
          <t>Target Days &gt; Judgement</t>
        </is>
      </c>
      <c r="B34" s="24" t="inlineStr">
        <is>
          <t>bpms_dev.sync_loan_foreclosure.target_judgement_days</t>
        </is>
      </c>
      <c r="C34" s="5" t="inlineStr">
        <is>
          <t>target_*</t>
        </is>
      </c>
      <c r="D34" s="5" t="inlineStr">
        <is>
          <t>bpms_dev.sync_loan_foreclosure</t>
        </is>
      </c>
      <c r="E34" s="25" t="inlineStr">
        <is>
          <t>系统配置常量</t>
        </is>
      </c>
      <c r="F34" s="5" t="inlineStr">
        <is>
          <t>配置常量（默认30天）</t>
        </is>
      </c>
      <c r="G34" s="5" t="inlineStr">
        <is>
          <t>N/A</t>
        </is>
      </c>
    </row>
    <row r="35" ht="36" customHeight="1" s="74">
      <c r="A35" s="5" t="inlineStr">
        <is>
          <t>Target Days &gt; Sale Date Set</t>
        </is>
      </c>
      <c r="B35" s="24" t="inlineStr">
        <is>
          <t>bpms_dev.sync_loan_foreclosure.target_sale_date_set_days</t>
        </is>
      </c>
      <c r="C35" s="5" t="inlineStr">
        <is>
          <t>target_*</t>
        </is>
      </c>
      <c r="D35" s="5" t="inlineStr">
        <is>
          <t>bpms_dev.sync_loan_foreclosure</t>
        </is>
      </c>
      <c r="E35" s="25" t="inlineStr">
        <is>
          <t>系统配置常量</t>
        </is>
      </c>
      <c r="F35" s="5" t="inlineStr">
        <is>
          <t>配置常量（默认30天）</t>
        </is>
      </c>
      <c r="G35" s="5" t="inlineStr">
        <is>
          <t>N/A</t>
        </is>
      </c>
    </row>
    <row r="36" ht="36" customHeight="1" s="74">
      <c r="A36" s="5" t="inlineStr">
        <is>
          <t>Target Days &gt; Final Title Cleared</t>
        </is>
      </c>
      <c r="B36" s="24" t="inlineStr">
        <is>
          <t>bpms_dev.sync_loan_foreclosure.target_final_title_cleared_days</t>
        </is>
      </c>
      <c r="C36" s="5" t="inlineStr">
        <is>
          <t>target_*</t>
        </is>
      </c>
      <c r="D36" s="5" t="inlineStr">
        <is>
          <t>bpms_dev.sync_loan_foreclosure</t>
        </is>
      </c>
      <c r="E36" s="25" t="inlineStr">
        <is>
          <t>系统配置常量</t>
        </is>
      </c>
      <c r="F36" s="5" t="inlineStr">
        <is>
          <t>配置常量（默认5天）</t>
        </is>
      </c>
      <c r="G36" s="5" t="inlineStr">
        <is>
          <t>N/A</t>
        </is>
      </c>
    </row>
    <row r="37" ht="36" customHeight="1" s="74">
      <c r="A37" s="5" t="inlineStr">
        <is>
          <t>Target Days &gt; Sale Date Held</t>
        </is>
      </c>
      <c r="B37" s="24" t="inlineStr">
        <is>
          <t>bpms_dev.sync_loan_foreclosure.target_sale_date_held_days</t>
        </is>
      </c>
      <c r="C37" s="5" t="inlineStr">
        <is>
          <t>target_*</t>
        </is>
      </c>
      <c r="D37" s="5" t="inlineStr">
        <is>
          <t>bpms_dev.sync_loan_foreclosure</t>
        </is>
      </c>
      <c r="E37" s="25" t="inlineStr">
        <is>
          <t>系统配置常量</t>
        </is>
      </c>
      <c r="F37" s="5" t="inlineStr">
        <is>
          <t>配置常量（默认0天）</t>
        </is>
      </c>
      <c r="G37" s="5" t="inlineStr">
        <is>
          <t>N/A</t>
        </is>
      </c>
    </row>
    <row r="38" ht="36" customHeight="1" s="74">
      <c r="A38" s="5" t="inlineStr">
        <is>
          <t>Target Days &gt; Total</t>
        </is>
      </c>
      <c r="B38" s="24" t="inlineStr">
        <is>
          <t>bpms_dev.sync_loan_foreclosure.target_total</t>
        </is>
      </c>
      <c r="C38" s="5" t="inlineStr">
        <is>
          <t>target_*</t>
        </is>
      </c>
      <c r="D38" s="5" t="inlineStr">
        <is>
          <t>bpms_dev.sync_loan_foreclosure</t>
        </is>
      </c>
      <c r="E38" s="25" t="inlineStr">
        <is>
          <t>系统配置常量</t>
        </is>
      </c>
      <c r="F38" s="5">
        <f>各阶段target_*天数之和</f>
        <v/>
      </c>
      <c r="G38" s="5" t="inlineStr">
        <is>
          <t>N/A</t>
        </is>
      </c>
    </row>
    <row r="39" ht="18" customHeight="1" s="74">
      <c r="A39" s="119" t="inlineStr">
        <is>
          <t>actual_* — 各阶段实际天数（16字段）
计算公式：DATEDIFF(阶段结束timeline日期, 阶段开始timeline日期) → bpms_dev.sync_loan_foreclosure</t>
        </is>
      </c>
      <c r="B39" s="70" t="n"/>
      <c r="C39" s="70" t="n"/>
      <c r="D39" s="70" t="n"/>
      <c r="E39" s="70" t="n"/>
      <c r="F39" s="70" t="n"/>
      <c r="G39" s="71" t="n"/>
    </row>
    <row r="40" ht="36" customHeight="1" s="74">
      <c r="A40" s="5" t="inlineStr">
        <is>
          <t>Actual Days &gt; Notice of Intent</t>
        </is>
      </c>
      <c r="B40" s="24" t="inlineStr">
        <is>
          <t>bpms_dev.sync_loan_foreclosure.actual_notice_of_intent_days</t>
        </is>
      </c>
      <c r="C40" s="5" t="inlineStr">
        <is>
          <t>actual_*</t>
        </is>
      </c>
      <c r="D40" s="5" t="inlineStr">
        <is>
          <t>bpms_dev.sync_loan_foreclosure</t>
        </is>
      </c>
      <c r="E40" s="25" t="inlineStr">
        <is>
          <t>newrez.portnewrezfc.demandexpirationdate − demandsentdate</t>
        </is>
      </c>
      <c r="F40" s="5" t="inlineStr">
        <is>
          <t>DATEDIFF（NOI有效期）</t>
        </is>
      </c>
      <c r="G40" s="5" t="inlineStr">
        <is>
          <t>依赖源字段填充率</t>
        </is>
      </c>
    </row>
    <row r="41" ht="36" customHeight="1" s="74">
      <c r="A41" s="5" t="inlineStr">
        <is>
          <t>Actual Days &gt; Notice of Intent Expiration</t>
        </is>
      </c>
      <c r="B41" s="24" t="inlineStr">
        <is>
          <t>bpms_dev.sync_loan_foreclosure.actual_notice_of_intent_expire_days</t>
        </is>
      </c>
      <c r="C41" s="5" t="inlineStr">
        <is>
          <t>actual_*</t>
        </is>
      </c>
      <c r="D41" s="5" t="inlineStr">
        <is>
          <t>bpms_dev.sync_loan_foreclosure</t>
        </is>
      </c>
      <c r="E41" s="25" t="inlineStr">
        <is>
          <t>newrez.portnewrezfc.fcsetupdate − demandexpirationdate</t>
        </is>
      </c>
      <c r="F41" s="5" t="inlineStr">
        <is>
          <t>DATEDIFF（NOI到期→审批等待天数）</t>
        </is>
      </c>
      <c r="G41" s="5" t="inlineStr">
        <is>
          <t>依赖源字段填充率</t>
        </is>
      </c>
    </row>
    <row r="42" ht="36" customHeight="1" s="74">
      <c r="A42" s="5" t="inlineStr">
        <is>
          <t>Actual Days &gt; Approved for Referral</t>
        </is>
      </c>
      <c r="B42" s="24" t="inlineStr">
        <is>
          <t>bpms_dev.sync_loan_foreclosure.actual_approved_for_referral_days</t>
        </is>
      </c>
      <c r="C42" s="5" t="inlineStr">
        <is>
          <t>actual_*</t>
        </is>
      </c>
      <c r="D42" s="5" t="inlineStr">
        <is>
          <t>bpms_dev.sync_loan_foreclosure</t>
        </is>
      </c>
      <c r="E42" s="25" t="inlineStr">
        <is>
          <t>newrez.portnewrezfc.fcreferraldate − fcsetupdate</t>
        </is>
      </c>
      <c r="F42" s="5" t="inlineStr">
        <is>
          <t>DATEDIFF；Newrez两者通常同日，结果≈0 ⚠️</t>
        </is>
      </c>
      <c r="G42" s="5" t="inlineStr">
        <is>
          <t>≈0</t>
        </is>
      </c>
    </row>
    <row r="43" ht="36" customHeight="1" s="74">
      <c r="A43" s="5" t="inlineStr">
        <is>
          <t>Actual Days &gt; Referred to Attorney</t>
        </is>
      </c>
      <c r="B43" s="24" t="inlineStr">
        <is>
          <t>bpms_dev.sync_loan_foreclosure.actual_referred_to_attorney_days</t>
        </is>
      </c>
      <c r="C43" s="5" t="inlineStr">
        <is>
          <t>actual_*</t>
        </is>
      </c>
      <c r="D43" s="5" t="inlineStr">
        <is>
          <t>bpms_dev.sync_loan_foreclosure</t>
        </is>
      </c>
      <c r="E43" s="25" t="inlineStr">
        <is>
          <t>newrez.portnewrezfc.fcreferraldate − fcreferraldate</t>
        </is>
      </c>
      <c r="F43" s="5" t="inlineStr">
        <is>
          <t>同字段相减，始终=0 ⚠️</t>
        </is>
      </c>
      <c r="G43" s="5" t="inlineStr">
        <is>
          <t>0</t>
        </is>
      </c>
    </row>
    <row r="44" ht="36" customHeight="1" s="74">
      <c r="A44" s="5" t="inlineStr">
        <is>
          <t>Actual Days &gt; Referred to Foreclosure</t>
        </is>
      </c>
      <c r="B44" s="24" t="inlineStr">
        <is>
          <t>bpms_dev.sync_loan_foreclosure.actual_referred_to_foreclosure_days</t>
        </is>
      </c>
      <c r="C44" s="5" t="inlineStr">
        <is>
          <t>actual_*</t>
        </is>
      </c>
      <c r="D44" s="5" t="inlineStr">
        <is>
          <t>bpms_dev.sync_loan_foreclosure</t>
        </is>
      </c>
      <c r="E44" s="25" t="inlineStr">
        <is>
          <t>newrez.portnewrezfc.firstlegaldate − fcreferraldate</t>
        </is>
      </c>
      <c r="F44" s="5" t="inlineStr">
        <is>
          <t>DATEDIFF（referral→first legal）</t>
        </is>
      </c>
      <c r="G44" s="5" t="inlineStr">
        <is>
          <t>依赖填充率</t>
        </is>
      </c>
    </row>
    <row r="45" ht="36" customHeight="1" s="74">
      <c r="A45" s="5" t="inlineStr">
        <is>
          <t>Actual Days &gt; Title Report Received</t>
        </is>
      </c>
      <c r="B45" s="24" t="inlineStr">
        <is>
          <t>bpms_dev.sync_loan_foreclosure.actual_title_report_received_days</t>
        </is>
      </c>
      <c r="C45" s="5" t="inlineStr">
        <is>
          <t>actual_*</t>
        </is>
      </c>
      <c r="D45" s="5" t="inlineStr">
        <is>
          <t>bpms_dev.sync_loan_foreclosure</t>
        </is>
      </c>
      <c r="E45" s="25" t="inlineStr">
        <is>
          <t>newrez.portnewrezfc.titlereceiveddate − fcreferraldate</t>
        </is>
      </c>
      <c r="F45" s="5" t="inlineStr">
        <is>
          <t>DATEDIFF；titlereceiveddate始终为空 ⚠️</t>
        </is>
      </c>
      <c r="G45" s="5" t="inlineStr">
        <is>
          <t>0%</t>
        </is>
      </c>
    </row>
    <row r="46" ht="36" customHeight="1" s="74">
      <c r="A46" s="5" t="inlineStr">
        <is>
          <t>Actual Days &gt; Preliminary Title Cleared</t>
        </is>
      </c>
      <c r="B46" s="24" t="inlineStr">
        <is>
          <t>bpms_dev.sync_loan_foreclosure.actual_preliminary_title_cleared_days</t>
        </is>
      </c>
      <c r="C46" s="5" t="inlineStr">
        <is>
          <t>actual_*</t>
        </is>
      </c>
      <c r="D46" s="5" t="inlineStr">
        <is>
          <t>bpms_dev.sync_loan_foreclosure</t>
        </is>
      </c>
      <c r="E46" s="25" t="inlineStr">
        <is>
          <t>newrez.portnewrezfc.titlecleardate − titlereceiveddate</t>
        </is>
      </c>
      <c r="F46" s="5" t="inlineStr">
        <is>
          <t>DATEDIFF；来源字段均为空 ⚠️</t>
        </is>
      </c>
      <c r="G46" s="5" t="inlineStr">
        <is>
          <t>0%</t>
        </is>
      </c>
    </row>
    <row r="47" ht="36" customHeight="1" s="74">
      <c r="A47" s="5" t="inlineStr">
        <is>
          <t>Actual Days &gt; First Legal</t>
        </is>
      </c>
      <c r="B47" s="24" t="inlineStr">
        <is>
          <t>bpms_dev.sync_loan_foreclosure.actual_first_legal_days</t>
        </is>
      </c>
      <c r="C47" s="5" t="inlineStr">
        <is>
          <t>actual_*</t>
        </is>
      </c>
      <c r="D47" s="5" t="inlineStr">
        <is>
          <t>bpms_dev.sync_loan_foreclosure</t>
        </is>
      </c>
      <c r="E47" s="25" t="inlineStr">
        <is>
          <t>newrez.portnewrezfc.servicecompletedate − firstlegaldate</t>
        </is>
      </c>
      <c r="F47" s="5" t="inlineStr">
        <is>
          <t>DATEDIFF（first legal→service完成）</t>
        </is>
      </c>
      <c r="G47" s="5" t="inlineStr">
        <is>
          <t>依赖填充率</t>
        </is>
      </c>
    </row>
    <row r="48" ht="36" customHeight="1" s="74">
      <c r="A48" s="5" t="inlineStr">
        <is>
          <t>Actual Days &gt; Service</t>
        </is>
      </c>
      <c r="B48" s="24" t="inlineStr">
        <is>
          <t>bpms_dev.sync_loan_foreclosure.actual_service_days</t>
        </is>
      </c>
      <c r="C48" s="5" t="inlineStr">
        <is>
          <t>actual_*</t>
        </is>
      </c>
      <c r="D48" s="5" t="inlineStr">
        <is>
          <t>bpms_dev.sync_loan_foreclosure</t>
        </is>
      </c>
      <c r="E48" s="25" t="inlineStr">
        <is>
          <t>newrez.portnewrezfc.fcjudgmenthearingscheduled − servicecompletedate</t>
        </is>
      </c>
      <c r="F48" s="5" t="inlineStr">
        <is>
          <t>DATEDIFF（service→judgment hearing）</t>
        </is>
      </c>
      <c r="G48" s="5" t="inlineStr">
        <is>
          <t>依赖填充率</t>
        </is>
      </c>
    </row>
    <row r="49" ht="36" customHeight="1" s="74">
      <c r="A49" s="5" t="inlineStr">
        <is>
          <t>Actual Days &gt; Publication</t>
        </is>
      </c>
      <c r="B49" s="24" t="inlineStr">
        <is>
          <t>bpms_dev.sync_loan_foreclosure.actual_publication_days</t>
        </is>
      </c>
      <c r="C49" s="5" t="inlineStr">
        <is>
          <t>actual_*</t>
        </is>
      </c>
      <c r="D49" s="5" t="inlineStr">
        <is>
          <t>bpms_dev.sync_loan_foreclosure</t>
        </is>
      </c>
      <c r="E49" s="25" t="inlineStr">
        <is>
          <t>依赖timeline_publication_date（Newrez未提供）</t>
        </is>
      </c>
      <c r="F49" s="5" t="inlineStr">
        <is>
          <t>始终为null ⚠️</t>
        </is>
      </c>
      <c r="G49" s="5" t="inlineStr">
        <is>
          <t>0%</t>
        </is>
      </c>
    </row>
    <row r="50" ht="36" customHeight="1" s="74">
      <c r="A50" s="5" t="inlineStr">
        <is>
          <t>Actual Days &gt; Judgement Hearing Set</t>
        </is>
      </c>
      <c r="B50" s="24" t="inlineStr">
        <is>
          <t>bpms_dev.sync_loan_foreclosure.actual_judgement_hearing_set_days</t>
        </is>
      </c>
      <c r="C50" s="5" t="inlineStr">
        <is>
          <t>actual_*</t>
        </is>
      </c>
      <c r="D50" s="5" t="inlineStr">
        <is>
          <t>bpms_dev.sync_loan_foreclosure</t>
        </is>
      </c>
      <c r="E50" s="25" t="inlineStr">
        <is>
          <t>newrez.portnewrezfc.fcjudgmententered − fcjudgmenthearingscheduled</t>
        </is>
      </c>
      <c r="F50" s="5" t="inlineStr">
        <is>
          <t>DATEDIFF；两者相差约11天属正常（不同事件）</t>
        </is>
      </c>
      <c r="G50" s="5" t="inlineStr">
        <is>
          <t>仅Judicial州</t>
        </is>
      </c>
    </row>
    <row r="51" ht="36" customHeight="1" s="74">
      <c r="A51" s="5" t="inlineStr">
        <is>
          <t>Actual Days &gt; Judgement</t>
        </is>
      </c>
      <c r="B51" s="24" t="inlineStr">
        <is>
          <t>bpms_dev.sync_loan_foreclosure.actual_judgement_days</t>
        </is>
      </c>
      <c r="C51" s="5" t="inlineStr">
        <is>
          <t>actual_*</t>
        </is>
      </c>
      <c r="D51" s="5" t="inlineStr">
        <is>
          <t>bpms_dev.sync_loan_foreclosure</t>
        </is>
      </c>
      <c r="E51" s="25" t="inlineStr">
        <is>
          <t>newrez.portnewrezfc.fcscheduledsaledate − fcjudgmententered</t>
        </is>
      </c>
      <c r="F51" s="5" t="inlineStr">
        <is>
          <t>DATEDIFF</t>
        </is>
      </c>
      <c r="G51" s="5" t="inlineStr">
        <is>
          <t>仅Judicial州</t>
        </is>
      </c>
    </row>
    <row r="52" ht="36" customHeight="1" s="74">
      <c r="A52" s="5" t="inlineStr">
        <is>
          <t>Actual Days &gt; Sale Date Set</t>
        </is>
      </c>
      <c r="B52" s="24" t="inlineStr">
        <is>
          <t>bpms_dev.sync_loan_foreclosure.actual_sale_date_set_days</t>
        </is>
      </c>
      <c r="C52" s="5" t="inlineStr">
        <is>
          <t>actual_*</t>
        </is>
      </c>
      <c r="D52" s="5" t="inlineStr">
        <is>
          <t>bpms_dev.sync_loan_foreclosure</t>
        </is>
      </c>
      <c r="E52" s="25" t="inlineStr">
        <is>
          <t>newrez.portnewrezfc.fcsalehelddate − fcscheduledsaledate</t>
        </is>
      </c>
      <c r="F52" s="5" t="inlineStr">
        <is>
          <t>DATEDIFF</t>
        </is>
      </c>
      <c r="G52" s="5" t="inlineStr">
        <is>
          <t>依赖填充率</t>
        </is>
      </c>
    </row>
    <row r="53" ht="36" customHeight="1" s="74">
      <c r="A53" s="5" t="inlineStr">
        <is>
          <t>Actual Days &gt; Final Title Cleared</t>
        </is>
      </c>
      <c r="B53" s="24" t="inlineStr">
        <is>
          <t>bpms_dev.sync_loan_foreclosure.actual_final_title_cleared_days</t>
        </is>
      </c>
      <c r="C53" s="5" t="inlineStr">
        <is>
          <t>actual_*</t>
        </is>
      </c>
      <c r="D53" s="5" t="inlineStr">
        <is>
          <t>bpms_dev.sync_loan_foreclosure</t>
        </is>
      </c>
      <c r="E53" s="25" t="inlineStr">
        <is>
          <t>newrez.portnewrezfc.fcsalehelddate − titlecleardate</t>
        </is>
      </c>
      <c r="F53" s="5" t="inlineStr">
        <is>
          <t>DATEDIFF；titlecleardate始终为空 ⚠️</t>
        </is>
      </c>
      <c r="G53" s="5" t="inlineStr">
        <is>
          <t>0%</t>
        </is>
      </c>
    </row>
    <row r="54" ht="36" customHeight="1" s="74">
      <c r="A54" s="5" t="inlineStr">
        <is>
          <t>Actual Days &gt; Sale Date Held</t>
        </is>
      </c>
      <c r="B54" s="24" t="inlineStr">
        <is>
          <t>bpms_dev.sync_loan_foreclosure.actual_sale_date_held_days</t>
        </is>
      </c>
      <c r="C54" s="5" t="inlineStr">
        <is>
          <t>actual_*</t>
        </is>
      </c>
      <c r="D54" s="5" t="inlineStr">
        <is>
          <t>bpms_dev.sync_loan_foreclosure</t>
        </is>
      </c>
      <c r="E54" s="25" t="inlineStr">
        <is>
          <t>newrez.portnewrezfc.fcremovaldate − fcsalehelddate</t>
        </is>
      </c>
      <c r="F54" s="5" t="inlineStr">
        <is>
          <t>DATEDIFF</t>
        </is>
      </c>
      <c r="G54" s="5" t="inlineStr">
        <is>
          <t>依赖填充率</t>
        </is>
      </c>
    </row>
    <row r="55" ht="36" customHeight="1" s="74">
      <c r="A55" s="5" t="inlineStr">
        <is>
          <t>Actual Days &gt; Total</t>
        </is>
      </c>
      <c r="B55" s="24" t="inlineStr">
        <is>
          <t>bpms_dev.sync_loan_foreclosure.actual_total</t>
        </is>
      </c>
      <c r="C55" s="5" t="inlineStr">
        <is>
          <t>actual_*</t>
        </is>
      </c>
      <c r="D55" s="5" t="inlineStr">
        <is>
          <t>bpms_dev.sync_loan_foreclosure</t>
        </is>
      </c>
      <c r="E55" s="25" t="inlineStr">
        <is>
          <t>各actual_*字段汇总</t>
        </is>
      </c>
      <c r="F55" s="5">
        <f>各阶段actual_*天数之和</f>
        <v/>
      </c>
      <c r="G55" s="5" t="inlineStr">
        <is>
          <t>—</t>
        </is>
      </c>
    </row>
    <row r="56" ht="18" customHeight="1" s="74">
      <c r="A56" s="119" t="inlineStr">
        <is>
          <t>var_* — 各阶段偏差天数（16字段）
公式：var_* = actual_* − target_*（正值=落后目标；负值=超前目标）→ bpms_dev.sync_loan_foreclosure</t>
        </is>
      </c>
      <c r="B56" s="70" t="n"/>
      <c r="C56" s="70" t="n"/>
      <c r="D56" s="70" t="n"/>
      <c r="E56" s="70" t="n"/>
      <c r="F56" s="70" t="n"/>
      <c r="G56" s="71" t="n"/>
    </row>
    <row r="57" ht="36" customHeight="1" s="74">
      <c r="A57" s="5" t="inlineStr">
        <is>
          <t>Var Days &gt; Notice of Intent</t>
        </is>
      </c>
      <c r="B57" s="24" t="inlineStr">
        <is>
          <t>bpms_dev.sync_loan_foreclosure.var_notice_of_intent_days</t>
        </is>
      </c>
      <c r="C57" s="5" t="inlineStr">
        <is>
          <t>var_*</t>
        </is>
      </c>
      <c r="D57" s="5" t="inlineStr">
        <is>
          <t>bpms_dev.sync_loan_foreclosure</t>
        </is>
      </c>
      <c r="E57" s="25" t="inlineStr">
        <is>
          <t>actual_notice_of_intent_days − target_notice_of_intent_days</t>
        </is>
      </c>
      <c r="F57" s="5" t="inlineStr">
        <is>
          <t>纯BPS内部计算，无Newrez原始数据参与</t>
        </is>
      </c>
      <c r="G57" s="5" t="inlineStr">
        <is>
          <t>—</t>
        </is>
      </c>
    </row>
    <row r="58" ht="36" customHeight="1" s="74">
      <c r="A58" s="5" t="inlineStr">
        <is>
          <t>Var Days &gt; Notice of Intent Expiration</t>
        </is>
      </c>
      <c r="B58" s="24" t="inlineStr">
        <is>
          <t>bpms_dev.sync_loan_foreclosure.var_notice_of_intent_expire_days</t>
        </is>
      </c>
      <c r="C58" s="5" t="inlineStr">
        <is>
          <t>var_*</t>
        </is>
      </c>
      <c r="D58" s="5" t="inlineStr">
        <is>
          <t>bpms_dev.sync_loan_foreclosure</t>
        </is>
      </c>
      <c r="E58" s="25" t="inlineStr">
        <is>
          <t>actual_notice_of_intent_expire_days − target_notice_of_intent_expired_days</t>
        </is>
      </c>
      <c r="F58" s="5" t="inlineStr">
        <is>
          <t>纯BPS内部计算</t>
        </is>
      </c>
      <c r="G58" s="5" t="inlineStr">
        <is>
          <t>—</t>
        </is>
      </c>
    </row>
    <row r="59" ht="36" customHeight="1" s="74">
      <c r="A59" s="5" t="inlineStr">
        <is>
          <t>Var Days &gt; Approved for Referral</t>
        </is>
      </c>
      <c r="B59" s="24" t="inlineStr">
        <is>
          <t>bpms_dev.sync_loan_foreclosure.var_approved_for_referral_days</t>
        </is>
      </c>
      <c r="C59" s="5" t="inlineStr">
        <is>
          <t>var_*</t>
        </is>
      </c>
      <c r="D59" s="5" t="inlineStr">
        <is>
          <t>bpms_dev.sync_loan_foreclosure</t>
        </is>
      </c>
      <c r="E59" s="25" t="inlineStr">
        <is>
          <t>actual_approved_for_referral_days − target_approved_for_referral_days</t>
        </is>
      </c>
      <c r="F59" s="5" t="inlineStr">
        <is>
          <t>通常 ≈ 0−30 = −30 ⚠️</t>
        </is>
      </c>
      <c r="G59" s="5" t="inlineStr">
        <is>
          <t>—</t>
        </is>
      </c>
    </row>
    <row r="60" ht="36" customHeight="1" s="74">
      <c r="A60" s="5" t="inlineStr">
        <is>
          <t>Var Days &gt; Referred to Attorney</t>
        </is>
      </c>
      <c r="B60" s="24" t="inlineStr">
        <is>
          <t>bpms_dev.sync_loan_foreclosure.var_referred_to_attorney_days</t>
        </is>
      </c>
      <c r="C60" s="5" t="inlineStr">
        <is>
          <t>var_*</t>
        </is>
      </c>
      <c r="D60" s="5" t="inlineStr">
        <is>
          <t>bpms_dev.sync_loan_foreclosure</t>
        </is>
      </c>
      <c r="E60" s="25" t="inlineStr">
        <is>
          <t>actual_referred_to_attorney_days − target_referred_to_attorney_days</t>
        </is>
      </c>
      <c r="F60" s="5" t="inlineStr">
        <is>
          <t>通常 ≈ 0−1 = −1 ⚠️</t>
        </is>
      </c>
      <c r="G60" s="5" t="inlineStr">
        <is>
          <t>—</t>
        </is>
      </c>
    </row>
    <row r="61" ht="36" customHeight="1" s="74">
      <c r="A61" s="5" t="inlineStr">
        <is>
          <t>Var Days &gt; Referred to Foreclosure</t>
        </is>
      </c>
      <c r="B61" s="24" t="inlineStr">
        <is>
          <t>bpms_dev.sync_loan_foreclosure.var_referred_to_foreclosure_days</t>
        </is>
      </c>
      <c r="C61" s="5" t="inlineStr">
        <is>
          <t>var_*</t>
        </is>
      </c>
      <c r="D61" s="5" t="inlineStr">
        <is>
          <t>bpms_dev.sync_loan_foreclosure</t>
        </is>
      </c>
      <c r="E61" s="25" t="inlineStr">
        <is>
          <t>actual_referred_to_foreclosure_days − target_referred_to_foreclosure_days</t>
        </is>
      </c>
      <c r="F61" s="5" t="inlineStr">
        <is>
          <t>纯BPS内部计算</t>
        </is>
      </c>
      <c r="G61" s="5" t="inlineStr">
        <is>
          <t>—</t>
        </is>
      </c>
    </row>
    <row r="62" ht="36" customHeight="1" s="74">
      <c r="A62" s="5" t="inlineStr">
        <is>
          <t>Var Days &gt; Title Report Received</t>
        </is>
      </c>
      <c r="B62" s="24" t="inlineStr">
        <is>
          <t>bpms_dev.sync_loan_foreclosure.var_title_report_received_days</t>
        </is>
      </c>
      <c r="C62" s="5" t="inlineStr">
        <is>
          <t>var_*</t>
        </is>
      </c>
      <c r="D62" s="5" t="inlineStr">
        <is>
          <t>bpms_dev.sync_loan_foreclosure</t>
        </is>
      </c>
      <c r="E62" s="25" t="inlineStr">
        <is>
          <t>actual_title_report_received_days − target_title_report_received_days</t>
        </is>
      </c>
      <c r="F62" s="5" t="inlineStr">
        <is>
          <t>来源字段为空，始终null ⚠️</t>
        </is>
      </c>
      <c r="G62" s="5" t="inlineStr">
        <is>
          <t>—</t>
        </is>
      </c>
    </row>
    <row r="63" ht="36" customHeight="1" s="74">
      <c r="A63" s="5" t="inlineStr">
        <is>
          <t>Var Days &gt; Preliminary Title Cleared</t>
        </is>
      </c>
      <c r="B63" s="24" t="inlineStr">
        <is>
          <t>bpms_dev.sync_loan_foreclosure.var_preliminary_title_cleared_days</t>
        </is>
      </c>
      <c r="C63" s="5" t="inlineStr">
        <is>
          <t>var_*</t>
        </is>
      </c>
      <c r="D63" s="5" t="inlineStr">
        <is>
          <t>bpms_dev.sync_loan_foreclosure</t>
        </is>
      </c>
      <c r="E63" s="25" t="inlineStr">
        <is>
          <t>actual_preliminary_title_cleared_days − target_preliminary_title_cleared_days</t>
        </is>
      </c>
      <c r="F63" s="5" t="inlineStr">
        <is>
          <t>来源字段为空 ⚠️</t>
        </is>
      </c>
      <c r="G63" s="5" t="inlineStr">
        <is>
          <t>—</t>
        </is>
      </c>
    </row>
    <row r="64" ht="36" customHeight="1" s="74">
      <c r="A64" s="5" t="inlineStr">
        <is>
          <t>Var Days &gt; First Legal</t>
        </is>
      </c>
      <c r="B64" s="24" t="inlineStr">
        <is>
          <t>bpms_dev.sync_loan_foreclosure.var_first_legal_days</t>
        </is>
      </c>
      <c r="C64" s="5" t="inlineStr">
        <is>
          <t>var_*</t>
        </is>
      </c>
      <c r="D64" s="5" t="inlineStr">
        <is>
          <t>bpms_dev.sync_loan_foreclosure</t>
        </is>
      </c>
      <c r="E64" s="25" t="inlineStr">
        <is>
          <t>actual_first_legal_days − target_first_legal_days</t>
        </is>
      </c>
      <c r="F64" s="5" t="inlineStr">
        <is>
          <t>纯BPS内部计算</t>
        </is>
      </c>
      <c r="G64" s="5" t="inlineStr">
        <is>
          <t>—</t>
        </is>
      </c>
    </row>
    <row r="65" ht="36" customHeight="1" s="74">
      <c r="A65" s="5" t="inlineStr">
        <is>
          <t>Var Days &gt; Service</t>
        </is>
      </c>
      <c r="B65" s="24" t="inlineStr">
        <is>
          <t>bpms_dev.sync_loan_foreclosure.var_service_days</t>
        </is>
      </c>
      <c r="C65" s="5" t="inlineStr">
        <is>
          <t>var_*</t>
        </is>
      </c>
      <c r="D65" s="5" t="inlineStr">
        <is>
          <t>bpms_dev.sync_loan_foreclosure</t>
        </is>
      </c>
      <c r="E65" s="25" t="inlineStr">
        <is>
          <t>actual_service_days − target_service_days</t>
        </is>
      </c>
      <c r="F65" s="5" t="inlineStr">
        <is>
          <t>纯BPS内部计算</t>
        </is>
      </c>
      <c r="G65" s="5" t="inlineStr">
        <is>
          <t>—</t>
        </is>
      </c>
    </row>
    <row r="66" ht="36" customHeight="1" s="74">
      <c r="A66" s="5" t="inlineStr">
        <is>
          <t>Var Days &gt; Publication</t>
        </is>
      </c>
      <c r="B66" s="24" t="inlineStr">
        <is>
          <t>bpms_dev.sync_loan_foreclosure.var_publication_days</t>
        </is>
      </c>
      <c r="C66" s="5" t="inlineStr">
        <is>
          <t>var_*</t>
        </is>
      </c>
      <c r="D66" s="5" t="inlineStr">
        <is>
          <t>bpms_dev.sync_loan_foreclosure</t>
        </is>
      </c>
      <c r="E66" s="25" t="inlineStr">
        <is>
          <t>actual_publication_days − target_publication_days</t>
        </is>
      </c>
      <c r="F66" s="5" t="inlineStr">
        <is>
          <t>始终null（publication_date无数据）⚠️</t>
        </is>
      </c>
      <c r="G66" s="5" t="inlineStr">
        <is>
          <t>—</t>
        </is>
      </c>
    </row>
    <row r="67" ht="36" customHeight="1" s="74">
      <c r="A67" s="5" t="inlineStr">
        <is>
          <t>Var Days &gt; Judgement Hearing Set</t>
        </is>
      </c>
      <c r="B67" s="24" t="inlineStr">
        <is>
          <t>bpms_dev.sync_loan_foreclosure.var_judgement_hearing_set_days</t>
        </is>
      </c>
      <c r="C67" s="5" t="inlineStr">
        <is>
          <t>var_*</t>
        </is>
      </c>
      <c r="D67" s="5" t="inlineStr">
        <is>
          <t>bpms_dev.sync_loan_foreclosure</t>
        </is>
      </c>
      <c r="E67" s="25" t="inlineStr">
        <is>
          <t>actual_judgement_hearing_set_days − target_judgement_hearing_set_days</t>
        </is>
      </c>
      <c r="F67" s="5" t="inlineStr">
        <is>
          <t>仅Judicial州</t>
        </is>
      </c>
      <c r="G67" s="5" t="inlineStr">
        <is>
          <t>—</t>
        </is>
      </c>
    </row>
    <row r="68" ht="36" customHeight="1" s="74">
      <c r="A68" s="5" t="inlineStr">
        <is>
          <t>Var Days &gt; Judgement</t>
        </is>
      </c>
      <c r="B68" s="24" t="inlineStr">
        <is>
          <t>bpms_dev.sync_loan_foreclosure.var_judgement_days</t>
        </is>
      </c>
      <c r="C68" s="5" t="inlineStr">
        <is>
          <t>var_*</t>
        </is>
      </c>
      <c r="D68" s="5" t="inlineStr">
        <is>
          <t>bpms_dev.sync_loan_foreclosure</t>
        </is>
      </c>
      <c r="E68" s="25" t="inlineStr">
        <is>
          <t>actual_judgement_days − target_judgement_days</t>
        </is>
      </c>
      <c r="F68" s="5" t="inlineStr">
        <is>
          <t>仅Judicial州</t>
        </is>
      </c>
      <c r="G68" s="5" t="inlineStr">
        <is>
          <t>—</t>
        </is>
      </c>
    </row>
    <row r="69" ht="36" customHeight="1" s="74">
      <c r="A69" s="5" t="inlineStr">
        <is>
          <t>Var Days &gt; Sale Date Set</t>
        </is>
      </c>
      <c r="B69" s="24" t="inlineStr">
        <is>
          <t>bpms_dev.sync_loan_foreclosure.var_sale_date_set_days</t>
        </is>
      </c>
      <c r="C69" s="5" t="inlineStr">
        <is>
          <t>var_*</t>
        </is>
      </c>
      <c r="D69" s="5" t="inlineStr">
        <is>
          <t>bpms_dev.sync_loan_foreclosure</t>
        </is>
      </c>
      <c r="E69" s="25" t="inlineStr">
        <is>
          <t>actual_sale_date_set_days − target_sale_date_set_days</t>
        </is>
      </c>
      <c r="F69" s="5" t="inlineStr">
        <is>
          <t>纯BPS内部计算</t>
        </is>
      </c>
      <c r="G69" s="5" t="inlineStr">
        <is>
          <t>—</t>
        </is>
      </c>
    </row>
    <row r="70" ht="36" customHeight="1" s="74">
      <c r="A70" s="5" t="inlineStr">
        <is>
          <t>Var Days &gt; Final Title Cleared</t>
        </is>
      </c>
      <c r="B70" s="24" t="inlineStr">
        <is>
          <t>bpms_dev.sync_loan_foreclosure.var_final_title_cleared_days</t>
        </is>
      </c>
      <c r="C70" s="5" t="inlineStr">
        <is>
          <t>var_*</t>
        </is>
      </c>
      <c r="D70" s="5" t="inlineStr">
        <is>
          <t>bpms_dev.sync_loan_foreclosure</t>
        </is>
      </c>
      <c r="E70" s="25" t="inlineStr">
        <is>
          <t>actual_final_title_cleared_days − target_final_title_cleared_days</t>
        </is>
      </c>
      <c r="F70" s="5" t="inlineStr">
        <is>
          <t>来源字段为空 ⚠️</t>
        </is>
      </c>
      <c r="G70" s="5" t="inlineStr">
        <is>
          <t>—</t>
        </is>
      </c>
    </row>
    <row r="71" ht="36" customHeight="1" s="74">
      <c r="A71" s="5" t="inlineStr">
        <is>
          <t>Var Days &gt; Sale Date Held</t>
        </is>
      </c>
      <c r="B71" s="24" t="inlineStr">
        <is>
          <t>bpms_dev.sync_loan_foreclosure.var_sale_date_held_days</t>
        </is>
      </c>
      <c r="C71" s="5" t="inlineStr">
        <is>
          <t>var_*</t>
        </is>
      </c>
      <c r="D71" s="5" t="inlineStr">
        <is>
          <t>bpms_dev.sync_loan_foreclosure</t>
        </is>
      </c>
      <c r="E71" s="25" t="inlineStr">
        <is>
          <t>actual_sale_date_held_days − target_sale_date_held_days</t>
        </is>
      </c>
      <c r="F71" s="5" t="inlineStr">
        <is>
          <t>纯BPS内部计算</t>
        </is>
      </c>
      <c r="G71" s="5" t="inlineStr">
        <is>
          <t>—</t>
        </is>
      </c>
    </row>
    <row r="72" ht="36" customHeight="1" s="74">
      <c r="A72" s="5" t="inlineStr">
        <is>
          <t>Var Days &gt; Total</t>
        </is>
      </c>
      <c r="B72" s="24" t="inlineStr">
        <is>
          <t>bpms_dev.sync_loan_foreclosure.var_total</t>
        </is>
      </c>
      <c r="C72" s="5" t="inlineStr">
        <is>
          <t>var_*</t>
        </is>
      </c>
      <c r="D72" s="5" t="inlineStr">
        <is>
          <t>bpms_dev.sync_loan_foreclosure</t>
        </is>
      </c>
      <c r="E72" s="25" t="inlineStr">
        <is>
          <t>actual_total − target_total</t>
        </is>
      </c>
      <c r="F72" s="5" t="inlineStr">
        <is>
          <t>正值=整体落后目标；负值=超前</t>
        </is>
      </c>
      <c r="G72" s="5" t="inlineStr">
        <is>
          <t>—</t>
        </is>
      </c>
    </row>
    <row r="73" ht="18" customHeight="1" s="74">
      <c r="A73" s="119" t="inlineStr">
        <is>
          <t>variance_* — BK/Hold偏差指标（4字段）
来源：newrez.portnewrezbk (前3个) + newrez.portnewrezfc (第4个)</t>
        </is>
      </c>
      <c r="B73" s="70" t="n"/>
      <c r="C73" s="70" t="n"/>
      <c r="D73" s="70" t="n"/>
      <c r="E73" s="70" t="n"/>
      <c r="F73" s="70" t="n"/>
      <c r="G73" s="71" t="n"/>
    </row>
    <row r="74" ht="36" customHeight="1" s="74">
      <c r="A74" s="5" t="inlineStr">
        <is>
          <t>Variance &gt; Active Bankruptcy</t>
        </is>
      </c>
      <c r="B74" s="24" t="inlineStr">
        <is>
          <t>bpms_dev.sync_loan_foreclosure.variance_active_bankruptcy</t>
        </is>
      </c>
      <c r="C74" s="5" t="inlineStr">
        <is>
          <t>variance_*</t>
        </is>
      </c>
      <c r="D74" s="5" t="inlineStr">
        <is>
          <t>bpms_dev.sync_loan_foreclosure</t>
        </is>
      </c>
      <c r="E74" s="25" t="inlineStr">
        <is>
          <t>newrez.portnewrezbk.activebkflag</t>
        </is>
      </c>
      <c r="F74" s="5" t="inlineStr">
        <is>
          <t>直接映射（1=当前活跃破产保护中）</t>
        </is>
      </c>
      <c r="G74" s="5" t="inlineStr">
        <is>
          <t>已提供</t>
        </is>
      </c>
    </row>
    <row r="75" ht="36" customHeight="1" s="74">
      <c r="A75" s="5" t="inlineStr">
        <is>
          <t>Variance &gt; Completed Bankruptcy</t>
        </is>
      </c>
      <c r="B75" s="24" t="inlineStr">
        <is>
          <t>bpms_dev.sync_loan_foreclosure.variance_completed_bankruptcy</t>
        </is>
      </c>
      <c r="C75" s="5" t="inlineStr">
        <is>
          <t>variance_*</t>
        </is>
      </c>
      <c r="D75" s="5" t="inlineStr">
        <is>
          <t>bpms_dev.sync_loan_foreclosure</t>
        </is>
      </c>
      <c r="E75" s="25" t="inlineStr">
        <is>
          <t>newrez.portnewrezbk.activebkflag + newrez.portnewrezbk.bkremovaldate</t>
        </is>
      </c>
      <c r="F75" s="5" t="inlineStr">
        <is>
          <t>activebkflag=0 AND bkremovaldate IS NOT NULL → 1（历史已完成破产）</t>
        </is>
      </c>
      <c r="G75" s="5" t="inlineStr">
        <is>
          <t>已提供</t>
        </is>
      </c>
    </row>
    <row r="76" ht="36" customHeight="1" s="74">
      <c r="A76" s="5" t="inlineStr">
        <is>
          <t>Variance &gt; Bankruptcies（历史次数）</t>
        </is>
      </c>
      <c r="B76" s="24" t="inlineStr">
        <is>
          <t>bpms_dev.sync_loan_foreclosure.variance_bankruptcies</t>
        </is>
      </c>
      <c r="C76" s="5" t="inlineStr">
        <is>
          <t>variance_*</t>
        </is>
      </c>
      <c r="D76" s="5" t="inlineStr">
        <is>
          <t>bpms_dev.sync_loan_foreclosure</t>
        </is>
      </c>
      <c r="E76" s="25" t="inlineStr">
        <is>
          <t>newrez.portnewrezbk.loanid（行数）</t>
        </is>
      </c>
      <c r="F76" s="5" t="inlineStr">
        <is>
          <t>COUNT(*) grouped by loanid</t>
        </is>
      </c>
      <c r="G76" s="5" t="inlineStr">
        <is>
          <t>已提供</t>
        </is>
      </c>
    </row>
    <row r="77" ht="36" customHeight="1" s="74">
      <c r="A77" s="5" t="inlineStr">
        <is>
          <t>Variance &gt; Estimated Hold Days</t>
        </is>
      </c>
      <c r="B77" s="24" t="inlineStr">
        <is>
          <t>bpms_dev.sync_loan_foreclosure.variance_estimated_hold_days</t>
        </is>
      </c>
      <c r="C77" s="5" t="inlineStr">
        <is>
          <t>variance_*</t>
        </is>
      </c>
      <c r="D77" s="5" t="inlineStr">
        <is>
          <t>bpms_dev.sync_loan_foreclosure</t>
        </is>
      </c>
      <c r="E77" s="25" t="inlineStr">
        <is>
          <t>newrez.portnewrezfc.fchold1/2/3projectedenddate</t>
        </is>
      </c>
      <c r="F77" s="5" t="inlineStr">
        <is>
          <t>MAX(三槽非空预计结束日) − 今日NY时间；来源是portnewrezfc，不是sync_loan_foreclosure_hold ⚠️</t>
        </is>
      </c>
      <c r="G77" s="5" t="inlineStr">
        <is>
          <t>已提供</t>
        </is>
      </c>
    </row>
    <row r="78" ht="18" customHeight="1" s="74">
      <c r="A78" s="119" t="inlineStr">
        <is>
          <t>bid_approval_* — 竞标审批字段（4字段）
来源：newrez.portnewrezfc → bpms_dev.sync_loan_foreclosure</t>
        </is>
      </c>
      <c r="B78" s="70" t="n"/>
      <c r="C78" s="70" t="n"/>
      <c r="D78" s="70" t="n"/>
      <c r="E78" s="70" t="n"/>
      <c r="F78" s="70" t="n"/>
      <c r="G78" s="71" t="n"/>
    </row>
    <row r="79" ht="36" customHeight="1" s="74">
      <c r="A79" s="5" t="inlineStr">
        <is>
          <t>Bid Approval &gt; Approval Status</t>
        </is>
      </c>
      <c r="B79" s="24" t="inlineStr">
        <is>
          <t>bpms_dev.sync_loan_foreclosure.bid_approval_status</t>
        </is>
      </c>
      <c r="C79" s="5" t="inlineStr">
        <is>
          <t>bid_approval_*</t>
        </is>
      </c>
      <c r="D79" s="5" t="inlineStr">
        <is>
          <t>bpms_dev.sync_loan_foreclosure</t>
        </is>
      </c>
      <c r="E79" s="25" t="inlineStr">
        <is>
          <t>(BPS内部工作流字段)</t>
        </is>
      </c>
      <c r="F79" s="5" t="inlineStr">
        <is>
          <t>BPS内部竞标审批流程写入；非Newrez来源</t>
        </is>
      </c>
      <c r="G79" s="5" t="inlineStr">
        <is>
          <t>BPS内部</t>
        </is>
      </c>
    </row>
    <row r="80" ht="36" customHeight="1" s="74">
      <c r="A80" s="5" t="inlineStr">
        <is>
          <t>Bid Approval &gt; Sale Date</t>
        </is>
      </c>
      <c r="B80" s="24" t="inlineStr">
        <is>
          <t>bpms_dev.sync_loan_foreclosure.bid_approval_sale_date</t>
        </is>
      </c>
      <c r="C80" s="5" t="inlineStr">
        <is>
          <t>bid_approval_*</t>
        </is>
      </c>
      <c r="D80" s="5" t="inlineStr">
        <is>
          <t>bpms_dev.sync_loan_foreclosure</t>
        </is>
      </c>
      <c r="E80" s="25" t="inlineStr">
        <is>
          <t>newrez.portnewrezfc.fcscheduledsaledate</t>
        </is>
      </c>
      <c r="F80" s="5" t="inlineStr">
        <is>
          <t>直接映射</t>
        </is>
      </c>
      <c r="G80" s="5" t="inlineStr">
        <is>
          <t>18.2%</t>
        </is>
      </c>
    </row>
    <row r="81" ht="36" customHeight="1" s="74">
      <c r="A81" s="5" t="inlineStr">
        <is>
          <t>Bid Approval &gt; Bid Amount</t>
        </is>
      </c>
      <c r="B81" s="24" t="inlineStr">
        <is>
          <t>bpms_dev.sync_loan_foreclosure.bid_approval_bid_amount</t>
        </is>
      </c>
      <c r="C81" s="5" t="inlineStr">
        <is>
          <t>bid_approval_*</t>
        </is>
      </c>
      <c r="D81" s="5" t="inlineStr">
        <is>
          <t>bpms_dev.sync_loan_foreclosure</t>
        </is>
      </c>
      <c r="E81" s="25" t="inlineStr">
        <is>
          <t>newrez.portnewrezfc.fcapprbidprice</t>
        </is>
      </c>
      <c r="F81" s="5" t="inlineStr">
        <is>
          <t>直接映射（BPS审批视角竞标价）</t>
        </is>
      </c>
      <c r="G81" s="5" t="inlineStr">
        <is>
          <t>8.9%</t>
        </is>
      </c>
    </row>
    <row r="82" ht="36" customHeight="1" s="74">
      <c r="A82" s="5" t="inlineStr">
        <is>
          <t>Bid Approval &gt; Loan Resolution Holds</t>
        </is>
      </c>
      <c r="B82" s="24" t="inlineStr">
        <is>
          <t>bpms_dev.sync_loan_foreclosure.bid_approval_loan_resolution_holods</t>
        </is>
      </c>
      <c r="C82" s="5" t="inlineStr">
        <is>
          <t>bid_approval_*</t>
        </is>
      </c>
      <c r="D82" s="5" t="inlineStr">
        <is>
          <t>bpms_dev.sync_loan_foreclosure</t>
        </is>
      </c>
      <c r="E82" s="25" t="inlineStr">
        <is>
          <t>newrez.portnewrezfc.fchold1/2/3description</t>
        </is>
      </c>
      <c r="F82" s="5" t="inlineStr">
        <is>
          <t>拼接所有非空Hold描述，分号分隔（注：字段名含typo 'holods'）⚠️</t>
        </is>
      </c>
      <c r="G82" s="5" t="inlineStr">
        <is>
          <t>已提供</t>
        </is>
      </c>
    </row>
    <row r="83" ht="18" customHeight="1" s="74">
      <c r="A83" s="119" t="inlineStr">
        <is>
          <t>summary_* — FCL摘要状态（16字段）
来源：newrez.portnewrezfc → bpms_dev.sync_loan_foreclosure</t>
        </is>
      </c>
      <c r="B83" s="70" t="n"/>
      <c r="C83" s="70" t="n"/>
      <c r="D83" s="70" t="n"/>
      <c r="E83" s="70" t="n"/>
      <c r="F83" s="70" t="n"/>
      <c r="G83" s="71" t="n"/>
    </row>
    <row r="84" ht="36" customHeight="1" s="74">
      <c r="A84" s="5" t="inlineStr">
        <is>
          <t>Summary &gt; Foreclosure Status</t>
        </is>
      </c>
      <c r="B84" s="24" t="inlineStr">
        <is>
          <t>bpms_dev.sync_loan_foreclosure.summary_foreclosure_status</t>
        </is>
      </c>
      <c r="C84" s="5" t="inlineStr">
        <is>
          <t>summary_*</t>
        </is>
      </c>
      <c r="D84" s="5" t="inlineStr">
        <is>
          <t>bpms_dev.sync_loan_foreclosure</t>
        </is>
      </c>
      <c r="E84" s="25" t="inlineStr">
        <is>
          <t>newrez.portnewrezfc.fcstage / fcresults / fcremovaldesc</t>
        </is>
      </c>
      <c r="F84" s="5" t="inlineStr">
        <is>
          <t>activefcflag=1→fcstage；activefcflag=0→fcresults或fcremovaldesc</t>
        </is>
      </c>
      <c r="G84" s="5" t="inlineStr">
        <is>
          <t>99.5%/2.1%/2.0%</t>
        </is>
      </c>
    </row>
    <row r="85" ht="36" customHeight="1" s="74">
      <c r="A85" s="5" t="inlineStr">
        <is>
          <t>Summary &gt; Foreclosure Bid Amount</t>
        </is>
      </c>
      <c r="B85" s="24" t="inlineStr">
        <is>
          <t>bpms_dev.sync_loan_foreclosure.summary_foreclosure_bid_amount</t>
        </is>
      </c>
      <c r="C85" s="5" t="inlineStr">
        <is>
          <t>summary_*</t>
        </is>
      </c>
      <c r="D85" s="5" t="inlineStr">
        <is>
          <t>bpms_dev.sync_loan_foreclosure</t>
        </is>
      </c>
      <c r="E85" s="25" t="inlineStr">
        <is>
          <t>newrez.portnewrezfc.fcbidamount</t>
        </is>
      </c>
      <c r="F85" s="5" t="inlineStr">
        <is>
          <t>直接映射</t>
        </is>
      </c>
      <c r="G85" s="5" t="inlineStr">
        <is>
          <t>9.0%</t>
        </is>
      </c>
    </row>
    <row r="86" ht="36" customHeight="1" s="74">
      <c r="A86" s="5" t="inlineStr">
        <is>
          <t>Summary &gt; Foreclosure Sale Amount</t>
        </is>
      </c>
      <c r="B86" s="24" t="inlineStr">
        <is>
          <t>bpms_dev.sync_loan_foreclosure.summary_foreclosure_sale_amount</t>
        </is>
      </c>
      <c r="C86" s="5" t="inlineStr">
        <is>
          <t>summary_*</t>
        </is>
      </c>
      <c r="D86" s="5" t="inlineStr">
        <is>
          <t>bpms_dev.sync_loan_foreclosure</t>
        </is>
      </c>
      <c r="E86" s="25" t="inlineStr">
        <is>
          <t>newrez.portnewrezfc.fcsaleamount</t>
        </is>
      </c>
      <c r="F86" s="5" t="inlineStr">
        <is>
          <t>直接映射（填充率4.7%&gt;sale_held 2.1%，顺序异常 ⚠️）</t>
        </is>
      </c>
      <c r="G86" s="5" t="inlineStr">
        <is>
          <t>4.7%</t>
        </is>
      </c>
    </row>
    <row r="87" ht="36" customHeight="1" s="74">
      <c r="A87" s="5" t="inlineStr">
        <is>
          <t>Summary &gt; Contested Litigation</t>
        </is>
      </c>
      <c r="B87" s="24" t="inlineStr">
        <is>
          <t>bpms_dev.sync_loan_foreclosure.summary_contested_litigation</t>
        </is>
      </c>
      <c r="C87" s="5" t="inlineStr">
        <is>
          <t>summary_*</t>
        </is>
      </c>
      <c r="D87" s="5" t="inlineStr">
        <is>
          <t>bpms_dev.sync_loan_foreclosure</t>
        </is>
      </c>
      <c r="E87" s="25" t="inlineStr">
        <is>
          <t>newrez.portnewrezfc.fccontestedflag</t>
        </is>
      </c>
      <c r="F87" s="5" t="inlineStr">
        <is>
          <t>直接映射</t>
        </is>
      </c>
      <c r="G87" s="5" t="inlineStr">
        <is>
          <t>100%</t>
        </is>
      </c>
    </row>
    <row r="88" ht="36" customHeight="1" s="74">
      <c r="A88" s="5" t="inlineStr">
        <is>
          <t>Summary &gt; Firm</t>
        </is>
      </c>
      <c r="B88" s="24" t="inlineStr">
        <is>
          <t>bpms_dev.sync_loan_foreclosure.summary_firm</t>
        </is>
      </c>
      <c r="C88" s="5" t="inlineStr">
        <is>
          <t>summary_*</t>
        </is>
      </c>
      <c r="D88" s="5" t="inlineStr">
        <is>
          <t>bpms_dev.sync_loan_foreclosure</t>
        </is>
      </c>
      <c r="E88" s="25" t="inlineStr">
        <is>
          <t>newrez.portnewrezfc.fcfirm</t>
        </is>
      </c>
      <c r="F88" s="5" t="inlineStr">
        <is>
          <t>直接映射（与summary_foreclosure_attorney同源）</t>
        </is>
      </c>
      <c r="G88" s="5" t="inlineStr">
        <is>
          <t>100%</t>
        </is>
      </c>
    </row>
    <row r="89" ht="36" customHeight="1" s="74">
      <c r="A89" s="5" t="inlineStr">
        <is>
          <t>Summary &gt; Type</t>
        </is>
      </c>
      <c r="B89" s="24" t="inlineStr">
        <is>
          <t>bpms_dev.sync_loan_foreclosure.summary_type</t>
        </is>
      </c>
      <c r="C89" s="5" t="inlineStr">
        <is>
          <t>summary_*</t>
        </is>
      </c>
      <c r="D89" s="5" t="inlineStr">
        <is>
          <t>bpms_dev.sync_loan_foreclosure</t>
        </is>
      </c>
      <c r="E89" s="25" t="inlineStr">
        <is>
          <t>newrez.portnewrezfc.judicial</t>
        </is>
      </c>
      <c r="F89" s="5" t="inlineStr">
        <is>
          <t>judicial=1→'Judicial'；judicial=0→'Non-Judicial'</t>
        </is>
      </c>
      <c r="G89" s="5" t="inlineStr">
        <is>
          <t>100%</t>
        </is>
      </c>
    </row>
    <row r="90" ht="36" customHeight="1" s="74">
      <c r="A90" s="5" t="inlineStr">
        <is>
          <t>Summary &gt; SMS Days in FCL</t>
        </is>
      </c>
      <c r="B90" s="24" t="inlineStr">
        <is>
          <t>bpms_dev.sync_loan_foreclosure.summary_sms_days_in_fcl</t>
        </is>
      </c>
      <c r="C90" s="5" t="inlineStr">
        <is>
          <t>summary_*</t>
        </is>
      </c>
      <c r="D90" s="5" t="inlineStr">
        <is>
          <t>bpms_dev.sync_loan_foreclosure</t>
        </is>
      </c>
      <c r="E90" s="25" t="inlineStr">
        <is>
          <t>newrez.portnewrezfc.smsdaysinfc + newrez.portnewrezfc.dataasof</t>
        </is>
      </c>
      <c r="F90" s="5" t="inlineStr">
        <is>
          <t>实时修正：smsdaysinfc + DATEDIFF(今日NY, dataasof)</t>
        </is>
      </c>
      <c r="G90" s="5" t="inlineStr">
        <is>
          <t>100%</t>
        </is>
      </c>
    </row>
    <row r="91" ht="36" customHeight="1" s="74">
      <c r="A91" s="5" t="inlineStr">
        <is>
          <t>Summary &gt; Days in FCL</t>
        </is>
      </c>
      <c r="B91" s="24" t="inlineStr">
        <is>
          <t>bpms_dev.sync_loan_foreclosure.summary_days_in_fcl</t>
        </is>
      </c>
      <c r="C91" s="5" t="inlineStr">
        <is>
          <t>summary_*</t>
        </is>
      </c>
      <c r="D91" s="5" t="inlineStr">
        <is>
          <t>bpms_dev.sync_loan_foreclosure</t>
        </is>
      </c>
      <c r="E91" s="25" t="inlineStr">
        <is>
          <t>newrez.portnewrezfc.daysinfc + newrez.portnewrezfc.dataasof</t>
        </is>
      </c>
      <c r="F91" s="5" t="inlineStr">
        <is>
          <t>实时修正：daysinfc + DATEDIFF(今日NY, dataasof)</t>
        </is>
      </c>
      <c r="G91" s="5" t="inlineStr">
        <is>
          <t>100%</t>
        </is>
      </c>
    </row>
    <row r="92" ht="36" customHeight="1" s="74">
      <c r="A92" s="5" t="inlineStr">
        <is>
          <t>Summary &gt; Current Step</t>
        </is>
      </c>
      <c r="B92" s="24" t="inlineStr">
        <is>
          <t>bpms_dev.sync_loan_foreclosure.summary_current_step</t>
        </is>
      </c>
      <c r="C92" s="5" t="inlineStr">
        <is>
          <t>summary_*</t>
        </is>
      </c>
      <c r="D92" s="5" t="inlineStr">
        <is>
          <t>bpms_dev.sync_loan_foreclosure</t>
        </is>
      </c>
      <c r="E92" s="25" t="inlineStr">
        <is>
          <t>newrez.portnewrezfc.currentmilestone / newrez.portnewrezfc.fcstage</t>
        </is>
      </c>
      <c r="F92" s="5" t="inlineStr">
        <is>
          <t>currentmilestone非空→优先使用；否则回落至fcstage</t>
        </is>
      </c>
      <c r="G92" s="5" t="inlineStr">
        <is>
          <t>62.7%/99.5%</t>
        </is>
      </c>
    </row>
    <row r="93" ht="36" customHeight="1" s="74">
      <c r="A93" s="5" t="inlineStr">
        <is>
          <t>Summary &gt; Last Step Completed</t>
        </is>
      </c>
      <c r="B93" s="24" t="inlineStr">
        <is>
          <t>bpms_dev.sync_loan_foreclosure.summary_last_step_completed</t>
        </is>
      </c>
      <c r="C93" s="5" t="inlineStr">
        <is>
          <t>summary_*</t>
        </is>
      </c>
      <c r="D93" s="5" t="inlineStr">
        <is>
          <t>bpms_dev.sync_loan_foreclosure</t>
        </is>
      </c>
      <c r="E93" s="25" t="inlineStr">
        <is>
          <t>newrez.portnewrezfc.lastfcstepcompleted</t>
        </is>
      </c>
      <c r="F93" s="5" t="inlineStr">
        <is>
          <t>直接映射</t>
        </is>
      </c>
      <c r="G93" s="5" t="inlineStr">
        <is>
          <t>99.5%</t>
        </is>
      </c>
    </row>
    <row r="94" ht="36" customHeight="1" s="74">
      <c r="A94" s="5" t="inlineStr">
        <is>
          <t>Summary &gt; Last Step Completed Date</t>
        </is>
      </c>
      <c r="B94" s="24" t="inlineStr">
        <is>
          <t>bpms_dev.sync_loan_foreclosure.summary_last_step_completed_date</t>
        </is>
      </c>
      <c r="C94" s="5" t="inlineStr">
        <is>
          <t>summary_*</t>
        </is>
      </c>
      <c r="D94" s="5" t="inlineStr">
        <is>
          <t>bpms_dev.sync_loan_foreclosure</t>
        </is>
      </c>
      <c r="E94" s="25" t="inlineStr">
        <is>
          <t>newrez.portnewrezfc.lastfcstepcompleteddate</t>
        </is>
      </c>
      <c r="F94" s="5" t="inlineStr">
        <is>
          <t>直接映射</t>
        </is>
      </c>
      <c r="G94" s="5" t="inlineStr">
        <is>
          <t>99.5%</t>
        </is>
      </c>
    </row>
    <row r="95" ht="36" customHeight="1" s="74">
      <c r="A95" s="5" t="inlineStr">
        <is>
          <t>Summary &gt; Servicer Number</t>
        </is>
      </c>
      <c r="B95" s="24" t="inlineStr">
        <is>
          <t>bpms_dev.sync_loan_foreclosure.summary_servicer_number</t>
        </is>
      </c>
      <c r="C95" s="5" t="inlineStr">
        <is>
          <t>summary_*</t>
        </is>
      </c>
      <c r="D95" s="5" t="inlineStr">
        <is>
          <t>bpms_dev.sync_loan_foreclosure</t>
        </is>
      </c>
      <c r="E95" s="25" t="inlineStr">
        <is>
          <t>newrez.portnewrezfc.shellpointloanid</t>
        </is>
      </c>
      <c r="F95" s="5" t="inlineStr">
        <is>
          <t>直接映射</t>
        </is>
      </c>
      <c r="G95" s="5" t="inlineStr">
        <is>
          <t>100%</t>
        </is>
      </c>
    </row>
    <row r="96" ht="36" customHeight="1" s="74">
      <c r="A96" s="5" t="inlineStr">
        <is>
          <t>Summary &gt; Completed Foreclosure</t>
        </is>
      </c>
      <c r="B96" s="24" t="inlineStr">
        <is>
          <t>bpms_dev.sync_loan_foreclosure.summary_completed_foreclosure</t>
        </is>
      </c>
      <c r="C96" s="5" t="inlineStr">
        <is>
          <t>summary_*</t>
        </is>
      </c>
      <c r="D96" s="5" t="inlineStr">
        <is>
          <t>bpms_dev.sync_loan_foreclosure</t>
        </is>
      </c>
      <c r="E96" s="25" t="inlineStr">
        <is>
          <t>newrez.portnewrezfc.activefcflag</t>
        </is>
      </c>
      <c r="F96" s="5" t="inlineStr">
        <is>
          <t>activefcflag=0→1（已完成）；activefcflag=1→0（进行中）</t>
        </is>
      </c>
      <c r="G96" s="5" t="inlineStr">
        <is>
          <t>100%</t>
        </is>
      </c>
    </row>
    <row r="97" ht="36" customHeight="1" s="74">
      <c r="A97" s="5" t="inlineStr">
        <is>
          <t>Summary &gt; Servicer FC Bid Amount</t>
        </is>
      </c>
      <c r="B97" s="24" t="inlineStr">
        <is>
          <t>bpms_dev.sync_loan_foreclosure.summary_srv_fc_bid_amount</t>
        </is>
      </c>
      <c r="C97" s="5" t="inlineStr">
        <is>
          <t>summary_*</t>
        </is>
      </c>
      <c r="D97" s="5" t="inlineStr">
        <is>
          <t>bpms_dev.sync_loan_foreclosure</t>
        </is>
      </c>
      <c r="E97" s="25" t="inlineStr">
        <is>
          <t>newrez.portnewrezfc.fcbidamount</t>
        </is>
      </c>
      <c r="F97" s="5" t="inlineStr">
        <is>
          <t>直接映射（Servicer视角竞标额，区别于fcapprbidprice）</t>
        </is>
      </c>
      <c r="G97" s="5" t="inlineStr">
        <is>
          <t>9.0%</t>
        </is>
      </c>
    </row>
    <row r="98" ht="36" customHeight="1" s="74">
      <c r="A98" s="5" t="inlineStr">
        <is>
          <t>Summary &gt; Judicial Foreclosure</t>
        </is>
      </c>
      <c r="B98" s="24" t="inlineStr">
        <is>
          <t>bpms_dev.sync_loan_foreclosure.summary_judicial_foreclosure</t>
        </is>
      </c>
      <c r="C98" s="5" t="inlineStr">
        <is>
          <t>summary_*</t>
        </is>
      </c>
      <c r="D98" s="5" t="inlineStr">
        <is>
          <t>bpms_dev.sync_loan_foreclosure</t>
        </is>
      </c>
      <c r="E98" s="25" t="inlineStr">
        <is>
          <t>newrez.portnewrezfc.judicial</t>
        </is>
      </c>
      <c r="F98" s="5" t="inlineStr">
        <is>
          <t>直接映射（1/0布尔值；上方Type字段为其可读文本版）</t>
        </is>
      </c>
      <c r="G98" s="5" t="inlineStr">
        <is>
          <t>100%</t>
        </is>
      </c>
    </row>
    <row r="99" ht="36" customHeight="1" s="74">
      <c r="A99" s="5" t="inlineStr">
        <is>
          <t>Summary &gt; Foreclosure Attorney</t>
        </is>
      </c>
      <c r="B99" s="24" t="inlineStr">
        <is>
          <t>bpms_dev.sync_loan_foreclosure.summary_foreclosure_attorney</t>
        </is>
      </c>
      <c r="C99" s="5" t="inlineStr">
        <is>
          <t>summary_*</t>
        </is>
      </c>
      <c r="D99" s="5" t="inlineStr">
        <is>
          <t>bpms_dev.sync_loan_foreclosure</t>
        </is>
      </c>
      <c r="E99" s="25" t="inlineStr">
        <is>
          <t>newrez.portnewrezfc.fcfirm</t>
        </is>
      </c>
      <c r="F99" s="5" t="inlineStr">
        <is>
          <t>直接映射（与summary_firm同源）</t>
        </is>
      </c>
      <c r="G99" s="5" t="inlineStr">
        <is>
          <t>100%</t>
        </is>
      </c>
    </row>
    <row r="100" ht="18" customHeight="1" s="74">
      <c r="A100" s="119" t="inlineStr">
        <is>
          <t>Hold面板字段
存储表：bpms_dev.sync_loan_foreclosure_hold（每次变更追加行，累积完整历史）
来源：newrez.portnewrezfc.fchold1/2/3*</t>
        </is>
      </c>
      <c r="B100" s="70" t="n"/>
      <c r="C100" s="70" t="n"/>
      <c r="D100" s="70" t="n"/>
      <c r="E100" s="70" t="n"/>
      <c r="F100" s="70" t="n"/>
      <c r="G100" s="71" t="n"/>
    </row>
    <row r="101" ht="36" customHeight="1" s="74">
      <c r="A101" s="5" t="inlineStr">
        <is>
          <t>Description（描述）</t>
        </is>
      </c>
      <c r="B101" s="24" t="inlineStr">
        <is>
          <t>bpms_dev.sync_loan_foreclosure_hold.description</t>
        </is>
      </c>
      <c r="C101" s="5" t="inlineStr">
        <is>
          <t>Hold面板</t>
        </is>
      </c>
      <c r="D101" s="5" t="inlineStr">
        <is>
          <t>bpms_dev.sync_loan_foreclosure_hold</t>
        </is>
      </c>
      <c r="E101" s="25" t="inlineStr">
        <is>
          <t>newrez.portnewrezfc.fchold1/2/3description</t>
        </is>
      </c>
      <c r="F101" s="5" t="inlineStr">
        <is>
          <t>三槽展开为多行；每次变更追加新行</t>
        </is>
      </c>
      <c r="G101" s="5" t="inlineStr">
        <is>
          <t>89.6%/69.8%/52.6%</t>
        </is>
      </c>
    </row>
    <row r="102" ht="36" customHeight="1" s="74">
      <c r="A102" s="5" t="inlineStr">
        <is>
          <t>Start Date（开始日）</t>
        </is>
      </c>
      <c r="B102" s="24" t="inlineStr">
        <is>
          <t>bpms_dev.sync_loan_foreclosure_hold.description_start_date</t>
        </is>
      </c>
      <c r="C102" s="5" t="inlineStr">
        <is>
          <t>Hold面板</t>
        </is>
      </c>
      <c r="D102" s="5" t="inlineStr">
        <is>
          <t>bpms_dev.sync_loan_foreclosure_hold</t>
        </is>
      </c>
      <c r="E102" s="25" t="inlineStr">
        <is>
          <t>newrez.portnewrezfc.fchold1/2/3startdate</t>
        </is>
      </c>
      <c r="F102" s="5" t="inlineStr">
        <is>
          <t>直接映射；fchold1startdate IS NOT NULL为入库条件</t>
        </is>
      </c>
      <c r="G102" s="5" t="inlineStr">
        <is>
          <t>与description同步</t>
        </is>
      </c>
    </row>
    <row r="103" ht="36" customHeight="1" s="74">
      <c r="A103" s="5" t="inlineStr">
        <is>
          <t>End Date（结束日）</t>
        </is>
      </c>
      <c r="B103" s="24" t="inlineStr">
        <is>
          <t>bpms_dev.sync_loan_foreclosure_hold.description_end_date</t>
        </is>
      </c>
      <c r="C103" s="5" t="inlineStr">
        <is>
          <t>Hold面板</t>
        </is>
      </c>
      <c r="D103" s="5" t="inlineStr">
        <is>
          <t>bpms_dev.sync_loan_foreclosure_hold</t>
        </is>
      </c>
      <c r="E103" s="25" t="inlineStr">
        <is>
          <t>newrez.portnewrezfc.fchold1/2/3enddate</t>
        </is>
      </c>
      <c r="F103" s="5" t="inlineStr">
        <is>
          <t>直接映射；NULL=Hold仍活跃</t>
        </is>
      </c>
      <c r="G103" s="5" t="inlineStr">
        <is>
          <t>与description同步</t>
        </is>
      </c>
    </row>
    <row r="104" ht="18" customHeight="1" s="74">
      <c r="A104" s="119" t="inlineStr">
        <is>
          <t>LM Cycle面板字段
存储表：bpms_dev.sync_loan_foreclosure_loss_mitigation（每个LM周期一行，历史不覆盖）
来源：newrez.portnewrezlm</t>
        </is>
      </c>
      <c r="B104" s="70" t="n"/>
      <c r="C104" s="70" t="n"/>
      <c r="D104" s="70" t="n"/>
      <c r="E104" s="70" t="n"/>
      <c r="F104" s="70" t="n"/>
      <c r="G104" s="71" t="n"/>
    </row>
    <row r="105" ht="36" customHeight="1" s="74">
      <c r="A105" s="5" t="inlineStr">
        <is>
          <t>Deal（策略大类）</t>
        </is>
      </c>
      <c r="B105" s="24" t="inlineStr">
        <is>
          <t>bpms_dev.sync_loan_foreclosure_loss_mitigation.deal</t>
        </is>
      </c>
      <c r="C105" s="5" t="inlineStr">
        <is>
          <t>LM面板</t>
        </is>
      </c>
      <c r="D105" s="5" t="inlineStr">
        <is>
          <t>bpms_dev.sync_loan_foreclosure_loss_mitigation</t>
        </is>
      </c>
      <c r="E105" s="25" t="inlineStr">
        <is>
          <t>newrez.portnewrezlm.lmdeal (int)</t>
        </is>
      </c>
      <c r="F105" s="5" t="inlineStr">
        <is>
          <t>ETL从newrez.portnewrezdatadic解码数字→文本（如7→'DIL'）</t>
        </is>
      </c>
      <c r="G105" s="5" t="inlineStr">
        <is>
          <t>已提供</t>
        </is>
      </c>
    </row>
    <row r="106" ht="36" customHeight="1" s="74">
      <c r="A106" s="5" t="inlineStr">
        <is>
          <t>Program（具体方案）</t>
        </is>
      </c>
      <c r="B106" s="24" t="inlineStr">
        <is>
          <t>bpms_dev.sync_loan_foreclosure_loss_mitigation.program</t>
        </is>
      </c>
      <c r="C106" s="5" t="inlineStr">
        <is>
          <t>LM面板</t>
        </is>
      </c>
      <c r="D106" s="5" t="inlineStr">
        <is>
          <t>bpms_dev.sync_loan_foreclosure_loss_mitigation</t>
        </is>
      </c>
      <c r="E106" s="25" t="inlineStr">
        <is>
          <t>newrez.portnewrezlm.lmprogram (int)</t>
        </is>
      </c>
      <c r="F106" s="5" t="inlineStr">
        <is>
          <t>ETL解码（如10→'Deed-in-Lieu'）</t>
        </is>
      </c>
      <c r="G106" s="5" t="inlineStr">
        <is>
          <t>已提供</t>
        </is>
      </c>
    </row>
    <row r="107" ht="36" customHeight="1" s="74">
      <c r="A107" s="5" t="inlineStr">
        <is>
          <t>Status（进度状态）</t>
        </is>
      </c>
      <c r="B107" s="24" t="inlineStr">
        <is>
          <t>bpms_dev.sync_loan_foreclosure_loss_mitigation.lmc_status</t>
        </is>
      </c>
      <c r="C107" s="5" t="inlineStr">
        <is>
          <t>LM面板</t>
        </is>
      </c>
      <c r="D107" s="5" t="inlineStr">
        <is>
          <t>bpms_dev.sync_loan_foreclosure_loss_mitigation</t>
        </is>
      </c>
      <c r="E107" s="25" t="inlineStr">
        <is>
          <t>newrez.portnewrezlm.lmstatus (int)</t>
        </is>
      </c>
      <c r="F107" s="5" t="inlineStr">
        <is>
          <t>ETL解码（如112→'Awaiting MI Approval'）</t>
        </is>
      </c>
      <c r="G107" s="5" t="inlineStr">
        <is>
          <t>已提供</t>
        </is>
      </c>
    </row>
    <row r="108" ht="36" customHeight="1" s="74">
      <c r="A108" s="5" t="inlineStr">
        <is>
          <t>Cycle Opened Date（周期开始日）</t>
        </is>
      </c>
      <c r="B108" s="24" t="inlineStr">
        <is>
          <t>bpms_dev.sync_loan_foreclosure_loss_mitigation.cycle_opened_date</t>
        </is>
      </c>
      <c r="C108" s="5" t="inlineStr">
        <is>
          <t>LM面板</t>
        </is>
      </c>
      <c r="D108" s="5" t="inlineStr">
        <is>
          <t>bpms_dev.sync_loan_foreclosure_loss_mitigation</t>
        </is>
      </c>
      <c r="E108" s="25" t="inlineStr">
        <is>
          <t>newrez.portnewrezlm.dealstartdate</t>
        </is>
      </c>
      <c r="F108" s="5" t="inlineStr">
        <is>
          <t>直接映射</t>
        </is>
      </c>
      <c r="G108" s="5" t="inlineStr">
        <is>
          <t>已提供</t>
        </is>
      </c>
    </row>
    <row r="109" ht="36" customHeight="1" s="74">
      <c r="A109" s="5" t="inlineStr">
        <is>
          <t>Cycle Closed Date（周期结束日）</t>
        </is>
      </c>
      <c r="B109" s="24" t="inlineStr">
        <is>
          <t>bpms_dev.sync_loan_foreclosure_loss_mitigation.cycle_closed_date</t>
        </is>
      </c>
      <c r="C109" s="5" t="inlineStr">
        <is>
          <t>LM面板</t>
        </is>
      </c>
      <c r="D109" s="5" t="inlineStr">
        <is>
          <t>bpms_dev.sync_loan_foreclosure_loss_mitigation</t>
        </is>
      </c>
      <c r="E109" s="25" t="inlineStr">
        <is>
          <t>newrez.portnewrezlm.lmremovaldate</t>
        </is>
      </c>
      <c r="F109" s="5" t="inlineStr">
        <is>
          <t>直接映射；NULL=仍活跃</t>
        </is>
      </c>
      <c r="G109" s="5" t="inlineStr">
        <is>
          <t>已提供</t>
        </is>
      </c>
    </row>
    <row r="110" ht="36" customHeight="1" s="74">
      <c r="A110" s="5" t="inlineStr">
        <is>
          <t>Final Disposition（最终结论）</t>
        </is>
      </c>
      <c r="B110" s="24" t="inlineStr">
        <is>
          <t>bpms_dev.sync_loan_foreclosure_loss_mitigation.final_disposition</t>
        </is>
      </c>
      <c r="C110" s="5" t="inlineStr">
        <is>
          <t>LM面板</t>
        </is>
      </c>
      <c r="D110" s="5" t="inlineStr">
        <is>
          <t>bpms_dev.sync_loan_foreclosure_loss_mitigation</t>
        </is>
      </c>
      <c r="E110" s="25" t="inlineStr">
        <is>
          <t>newrez.portnewrezlm.lmdecision (int)</t>
        </is>
      </c>
      <c r="F110" s="5" t="inlineStr">
        <is>
          <t>ETL解码（如6→'LMS Opened in Error'；99→'Pending'）</t>
        </is>
      </c>
      <c r="G110" s="5" t="inlineStr">
        <is>
          <t>已提供</t>
        </is>
      </c>
    </row>
    <row r="111" ht="36" customHeight="1" s="74">
      <c r="A111" s="5" t="inlineStr">
        <is>
          <t>Denial / Reason（拒绝原因）</t>
        </is>
      </c>
      <c r="B111" s="24" t="inlineStr">
        <is>
          <t>bpms_dev.sync_loan_foreclosure_loss_mitigation.denialreason</t>
        </is>
      </c>
      <c r="C111" s="5" t="inlineStr">
        <is>
          <t>LM面板</t>
        </is>
      </c>
      <c r="D111" s="5" t="inlineStr">
        <is>
          <t>bpms_dev.sync_loan_foreclosure_loss_mitigation</t>
        </is>
      </c>
      <c r="E111" s="25" t="inlineStr">
        <is>
          <t>newrez.portnewrezlm.denialreason (int)</t>
        </is>
      </c>
      <c r="F111" s="5" t="inlineStr">
        <is>
          <t>ETL解码；无拒绝时为空字符串</t>
        </is>
      </c>
      <c r="G111" s="5" t="inlineStr">
        <is>
          <t>已提供</t>
        </is>
      </c>
    </row>
    <row r="112" ht="36" customHeight="1" s="74">
      <c r="A112" s="5" t="inlineStr">
        <is>
          <t>Borrower Intentions（借款人意向）</t>
        </is>
      </c>
      <c r="B112" s="24" t="inlineStr">
        <is>
          <t>bpms_dev.sync_loan_foreclosure_loss_mitigation.borrower_intentions</t>
        </is>
      </c>
      <c r="C112" s="5" t="inlineStr">
        <is>
          <t>LM面板</t>
        </is>
      </c>
      <c r="D112" s="5" t="inlineStr">
        <is>
          <t>bpms_dev.sync_loan_foreclosure_loss_mitigation</t>
        </is>
      </c>
      <c r="E112" s="25" t="inlineStr">
        <is>
          <t>newrez.portnewrezlm.borrowerintention (int)</t>
        </is>
      </c>
      <c r="F112" s="5" t="inlineStr">
        <is>
          <t>ETL解码；Newrez通常为空</t>
        </is>
      </c>
      <c r="G112" s="5" t="inlineStr">
        <is>
          <t>0%</t>
        </is>
      </c>
    </row>
    <row r="113" ht="36" customHeight="1" s="74">
      <c r="A113" s="5" t="inlineStr">
        <is>
          <t>Imminent Default（即将违约）</t>
        </is>
      </c>
      <c r="B113" s="24" t="inlineStr">
        <is>
          <t>bpms_dev.sync_loan_foreclosure_loss_mitigation.imminent_default</t>
        </is>
      </c>
      <c r="C113" s="5" t="inlineStr">
        <is>
          <t>LM面板</t>
        </is>
      </c>
      <c r="D113" s="5" t="inlineStr">
        <is>
          <t>bpms_dev.sync_loan_foreclosure_loss_mitigation</t>
        </is>
      </c>
      <c r="E113" s="25" t="inlineStr">
        <is>
          <t>(无Newrez对应字段)</t>
        </is>
      </c>
      <c r="F113" s="5" t="inlineStr">
        <is>
          <t>Newrez所有贷款均为NULL；CFPB Reg X 12 CFR 1024.41要求</t>
        </is>
      </c>
      <c r="G113" s="5" t="inlineStr">
        <is>
          <t>0%</t>
        </is>
      </c>
    </row>
    <row r="114" ht="36" customHeight="1" s="74">
      <c r="A114" s="5" t="inlineStr">
        <is>
          <t>Single Point of Contact（专属联络员）</t>
        </is>
      </c>
      <c r="B114" s="24" t="inlineStr">
        <is>
          <t>bpms_dev.sync_loan_foreclosure_loss_mitigation.single_point_of_contact</t>
        </is>
      </c>
      <c r="C114" s="5" t="inlineStr">
        <is>
          <t>LM面板</t>
        </is>
      </c>
      <c r="D114" s="5" t="inlineStr">
        <is>
          <t>bpms_dev.sync_loan_foreclosure_loss_mitigation</t>
        </is>
      </c>
      <c r="E114" s="25" t="inlineStr">
        <is>
          <t>(无Newrez对应字段)</t>
        </is>
      </c>
      <c r="F114" s="5" t="inlineStr">
        <is>
          <t>Newrez所有贷款均为NULL；CFPB Reg X 12 CFR 1024.40要求</t>
        </is>
      </c>
      <c r="G114" s="5" t="inlineStr">
        <is>
          <t>0%</t>
        </is>
      </c>
    </row>
    <row r="115" ht="18" customHeight="1" s="74">
      <c r="A115" s="119" t="inlineStr">
        <is>
          <t>Bankruptcy面板字段
存储表：bpms_dev.sync_loan_foreclosure_bankruptcy（每次申请一行）
来源：newrez.portnewrezbk</t>
        </is>
      </c>
      <c r="B115" s="70" t="n"/>
      <c r="C115" s="70" t="n"/>
      <c r="D115" s="70" t="n"/>
      <c r="E115" s="70" t="n"/>
      <c r="F115" s="70" t="n"/>
      <c r="G115" s="71" t="n"/>
    </row>
    <row r="116" ht="36" customHeight="1" s="74">
      <c r="A116" s="5" t="inlineStr">
        <is>
          <t>Status（案件状态）</t>
        </is>
      </c>
      <c r="B116" s="24" t="inlineStr">
        <is>
          <t>bpms_dev.sync_loan_foreclosure_bankruptcy.bankruptcy_status</t>
        </is>
      </c>
      <c r="C116" s="5" t="inlineStr">
        <is>
          <t>BK面板</t>
        </is>
      </c>
      <c r="D116" s="5" t="inlineStr">
        <is>
          <t>bpms_dev.sync_loan_foreclosure_bankruptcy</t>
        </is>
      </c>
      <c r="E116" s="25" t="inlineStr">
        <is>
          <t>newrez.portnewrezbk.bkstatus (int)</t>
        </is>
      </c>
      <c r="F116" s="5" t="inlineStr">
        <is>
          <t>数字代码（解码行为待确认，见doc 13 Q7）</t>
        </is>
      </c>
      <c r="G116" s="5" t="inlineStr">
        <is>
          <t>已提供</t>
        </is>
      </c>
    </row>
    <row r="117" ht="36" customHeight="1" s="74">
      <c r="A117" s="5" t="inlineStr">
        <is>
          <t>Legal Status（法律阶段）</t>
        </is>
      </c>
      <c r="B117" s="24" t="inlineStr">
        <is>
          <t>bpms_dev.sync_loan_foreclosure_bankruptcy.legal_status</t>
        </is>
      </c>
      <c r="C117" s="5" t="inlineStr">
        <is>
          <t>BK面板</t>
        </is>
      </c>
      <c r="D117" s="5" t="inlineStr">
        <is>
          <t>bpms_dev.sync_loan_foreclosure_bankruptcy</t>
        </is>
      </c>
      <c r="E117" s="25" t="inlineStr">
        <is>
          <t>newrez.portnewrezbk.bkstage (int)</t>
        </is>
      </c>
      <c r="F117" s="5" t="inlineStr">
        <is>
          <t>数字代码（解码行为待确认）</t>
        </is>
      </c>
      <c r="G117" s="5" t="inlineStr">
        <is>
          <t>已提供</t>
        </is>
      </c>
    </row>
    <row r="118" ht="36" customHeight="1" s="74">
      <c r="A118" s="5" t="inlineStr">
        <is>
          <t>Status Date（状态日期）</t>
        </is>
      </c>
      <c r="B118" s="24" t="inlineStr">
        <is>
          <t>bpms_dev.sync_loan_foreclosure_bankruptcy.status_date</t>
        </is>
      </c>
      <c r="C118" s="5" t="inlineStr">
        <is>
          <t>BK面板</t>
        </is>
      </c>
      <c r="D118" s="5" t="inlineStr">
        <is>
          <t>bpms_dev.sync_loan_foreclosure_bankruptcy</t>
        </is>
      </c>
      <c r="E118" s="25" t="inlineStr">
        <is>
          <t>newrez.portnewrezbk.bkrcurrentstatusdate</t>
        </is>
      </c>
      <c r="F118" s="5" t="inlineStr">
        <is>
          <t>直接映射</t>
        </is>
      </c>
      <c r="G118" s="5" t="inlineStr">
        <is>
          <t>已提供</t>
        </is>
      </c>
    </row>
    <row r="119" ht="36" customHeight="1" s="74">
      <c r="A119" s="5" t="inlineStr">
        <is>
          <t>Chapter（章节）</t>
        </is>
      </c>
      <c r="B119" s="24" t="inlineStr">
        <is>
          <t>bpms_dev.sync_loan_foreclosure_bankruptcy.chapter</t>
        </is>
      </c>
      <c r="C119" s="5" t="inlineStr">
        <is>
          <t>BK面板</t>
        </is>
      </c>
      <c r="D119" s="5" t="inlineStr">
        <is>
          <t>bpms_dev.sync_loan_foreclosure_bankruptcy</t>
        </is>
      </c>
      <c r="E119" s="25" t="inlineStr">
        <is>
          <t>newrez.portnewrezbk.bkchapter</t>
        </is>
      </c>
      <c r="F119" s="5" t="inlineStr">
        <is>
          <t>直接映射（7/11/13）</t>
        </is>
      </c>
      <c r="G119" s="5" t="inlineStr">
        <is>
          <t>已提供</t>
        </is>
      </c>
    </row>
    <row r="120" ht="36" customHeight="1" s="74">
      <c r="A120" s="5" t="inlineStr">
        <is>
          <t>MFR Status（解除申请状态）</t>
        </is>
      </c>
      <c r="B120" s="24" t="inlineStr">
        <is>
          <t>bpms_dev.sync_loan_foreclosure_bankruptcy.mfr_status</t>
        </is>
      </c>
      <c r="C120" s="5" t="inlineStr">
        <is>
          <t>BK面板</t>
        </is>
      </c>
      <c r="D120" s="5" t="inlineStr">
        <is>
          <t>bpms_dev.sync_loan_foreclosure_bankruptcy</t>
        </is>
      </c>
      <c r="E120" s="25" t="inlineStr">
        <is>
          <t>newrez.portnewrezbk.mfrhearingresults (int)</t>
        </is>
      </c>
      <c r="F120" s="5" t="inlineStr">
        <is>
          <t>数字代码（解码待确认）</t>
        </is>
      </c>
      <c r="G120" s="5" t="inlineStr">
        <is>
          <t>已提供</t>
        </is>
      </c>
    </row>
    <row r="121" ht="36" customHeight="1" s="74">
      <c r="A121" s="5" t="inlineStr">
        <is>
          <t>MFR Filed Date（MFR提交日）</t>
        </is>
      </c>
      <c r="B121" s="24" t="inlineStr">
        <is>
          <t>bpms_dev.sync_loan_foreclosure_bankruptcy.mfr_filed_date</t>
        </is>
      </c>
      <c r="C121" s="5" t="inlineStr">
        <is>
          <t>BK面板</t>
        </is>
      </c>
      <c r="D121" s="5" t="inlineStr">
        <is>
          <t>bpms_dev.sync_loan_foreclosure_bankruptcy</t>
        </is>
      </c>
      <c r="E121" s="25" t="inlineStr">
        <is>
          <t>newrez.portnewrezbk.mfrfileddate</t>
        </is>
      </c>
      <c r="F121" s="5" t="inlineStr">
        <is>
          <t>直接映射</t>
        </is>
      </c>
      <c r="G121" s="5" t="inlineStr">
        <is>
          <t>已提供</t>
        </is>
      </c>
    </row>
    <row r="122" ht="36" customHeight="1" s="74">
      <c r="A122" s="5" t="inlineStr">
        <is>
          <t>Proof of Claim Date（债权登记日）</t>
        </is>
      </c>
      <c r="B122" s="24" t="inlineStr">
        <is>
          <t>bpms_dev.sync_loan_foreclosure_bankruptcy.proof_of_claim_date</t>
        </is>
      </c>
      <c r="C122" s="5" t="inlineStr">
        <is>
          <t>BK面板</t>
        </is>
      </c>
      <c r="D122" s="5" t="inlineStr">
        <is>
          <t>bpms_dev.sync_loan_foreclosure_bankruptcy</t>
        </is>
      </c>
      <c r="E122" s="25" t="inlineStr">
        <is>
          <t>newrez.portnewrezbk.pocfileddate</t>
        </is>
      </c>
      <c r="F122" s="5" t="inlineStr">
        <is>
          <t>直接映射</t>
        </is>
      </c>
      <c r="G122" s="5" t="inlineStr">
        <is>
          <t>已提供</t>
        </is>
      </c>
    </row>
    <row r="123" ht="36" customHeight="1" s="74">
      <c r="A123" s="5" t="inlineStr">
        <is>
          <t>Post Petition Due Date（申请后付款日）</t>
        </is>
      </c>
      <c r="B123" s="24" t="inlineStr">
        <is>
          <t>bpms_dev.sync_loan_foreclosure_bankruptcy.post_petition_due_date</t>
        </is>
      </c>
      <c r="C123" s="5" t="inlineStr">
        <is>
          <t>BK面板</t>
        </is>
      </c>
      <c r="D123" s="5" t="inlineStr">
        <is>
          <t>bpms_dev.sync_loan_foreclosure_bankruptcy</t>
        </is>
      </c>
      <c r="E123" s="25" t="inlineStr">
        <is>
          <t>newrez.portnewrezbk.bkpostpetitionduedate</t>
        </is>
      </c>
      <c r="F123" s="5" t="inlineStr">
        <is>
          <t>直接映射</t>
        </is>
      </c>
      <c r="G123" s="5" t="inlineStr">
        <is>
          <t>已提供</t>
        </is>
      </c>
    </row>
    <row r="125" ht="18" customHeight="1" s="74">
      <c r="A125" s="122" t="inlineStr">
        <is>
          <t>LM字段解码表 — Deal（策略大类）</t>
        </is>
      </c>
      <c r="B125" s="70" t="n"/>
      <c r="C125" s="70" t="n"/>
      <c r="D125" s="70" t="n"/>
      <c r="E125" s="70" t="n"/>
      <c r="F125" s="70" t="n"/>
      <c r="G125" s="71" t="n"/>
    </row>
    <row r="126" ht="22" customHeight="1" s="74">
      <c r="A126" s="4" t="inlineStr">
        <is>
          <t>deal值</t>
        </is>
      </c>
      <c r="B126" s="4" t="inlineStr">
        <is>
          <t>业务含义</t>
        </is>
      </c>
      <c r="C126" s="4" t="inlineStr">
        <is>
          <t>借款人结果</t>
        </is>
      </c>
      <c r="D126" s="4" t="inlineStr">
        <is>
          <t>典型顺序</t>
        </is>
      </c>
      <c r="E126" s="4" t="n"/>
      <c r="F126" s="4" t="n"/>
      <c r="G126" s="4" t="n"/>
    </row>
    <row r="127" ht="26" customHeight="1" s="74">
      <c r="A127" s="12" t="inlineStr">
        <is>
          <t>Evaluation</t>
        </is>
      </c>
      <c r="B127" s="12" t="inlineStr">
        <is>
          <t>初始评估：收集借款人财务材料，确定适用LM类型；尚未承诺具体方案</t>
        </is>
      </c>
      <c r="C127" s="12" t="inlineStr">
        <is>
          <t>不确定</t>
        </is>
      </c>
      <c r="D127" s="12" t="inlineStr">
        <is>
          <t>第1步</t>
        </is>
      </c>
      <c r="E127" s="12" t="n"/>
      <c r="F127" s="12" t="n"/>
      <c r="G127" s="12" t="n"/>
    </row>
    <row r="128">
      <c r="A128" s="12" t="inlineStr">
        <is>
          <t>Modification</t>
        </is>
      </c>
      <c r="B128" s="12" t="inlineStr">
        <is>
          <t>贷款修改：永久变更利率/期限/本金；借款人保留房产</t>
        </is>
      </c>
      <c r="C128" s="12" t="inlineStr">
        <is>
          <t>保留房产</t>
        </is>
      </c>
      <c r="D128" s="12" t="inlineStr">
        <is>
          <t>第2步</t>
        </is>
      </c>
      <c r="E128" s="12" t="n"/>
      <c r="F128" s="12" t="n"/>
      <c r="G128" s="12" t="n"/>
    </row>
    <row r="129">
      <c r="A129" s="12" t="inlineStr">
        <is>
          <t>Forbearance</t>
        </is>
      </c>
      <c r="B129" s="12" t="inlineStr">
        <is>
          <t>临时救助：暂停还款3-12个月（COVID期间监管强制要求）</t>
        </is>
      </c>
      <c r="C129" s="12" t="inlineStr">
        <is>
          <t>临时救助</t>
        </is>
      </c>
      <c r="D129" s="12" t="inlineStr">
        <is>
          <t>第2步(临时)</t>
        </is>
      </c>
      <c r="E129" s="12" t="n"/>
      <c r="F129" s="12" t="n"/>
      <c r="G129" s="12" t="n"/>
    </row>
    <row r="130">
      <c r="A130" s="12" t="inlineStr">
        <is>
          <t>Repayment Plan</t>
        </is>
      </c>
      <c r="B130" s="12" t="inlineStr">
        <is>
          <t>还款计划：分期补交欠款，不修改贷款条款</t>
        </is>
      </c>
      <c r="C130" s="12" t="inlineStr">
        <is>
          <t>保留房产</t>
        </is>
      </c>
      <c r="D130" s="12" t="inlineStr">
        <is>
          <t>第2步(轻量)</t>
        </is>
      </c>
      <c r="E130" s="12" t="n"/>
      <c r="F130" s="12" t="n"/>
      <c r="G130" s="12" t="n"/>
    </row>
    <row r="131">
      <c r="A131" s="12" t="inlineStr">
        <is>
          <t>Short Sale</t>
        </is>
      </c>
      <c r="B131" s="12" t="inlineStr">
        <is>
          <t>短售：以低于贷款余额价格出售；贷款人提供书面赤字豁免</t>
        </is>
      </c>
      <c r="C131" s="12" t="inlineStr">
        <is>
          <t>出售房产</t>
        </is>
      </c>
      <c r="D131" s="12" t="inlineStr">
        <is>
          <t>第3步</t>
        </is>
      </c>
      <c r="E131" s="12" t="n"/>
      <c r="F131" s="12" t="n"/>
      <c r="G131" s="12" t="n"/>
    </row>
    <row r="132" ht="26" customHeight="1" s="74">
      <c r="A132" s="12" t="inlineStr">
        <is>
          <t>DIL</t>
        </is>
      </c>
      <c r="B132" s="12" t="inlineStr">
        <is>
          <t>产权代替（Deed-in-Lieu）：借款人自愿将产权转让给贷款人；贷款据此注销</t>
        </is>
      </c>
      <c r="C132" s="12" t="inlineStr">
        <is>
          <t>放弃房产</t>
        </is>
      </c>
      <c r="D132" s="12" t="inlineStr">
        <is>
          <t>第4步(最终)</t>
        </is>
      </c>
      <c r="E132" s="12" t="n"/>
      <c r="F132" s="12" t="n"/>
      <c r="G132" s="12" t="n"/>
    </row>
    <row r="134" ht="18" customHeight="1" s="74">
      <c r="A134" s="122" t="inlineStr">
        <is>
          <t>LM字段解码表 — Final Disposition（最终结论）</t>
        </is>
      </c>
      <c r="B134" s="70" t="n"/>
      <c r="C134" s="70" t="n"/>
      <c r="D134" s="70" t="n"/>
      <c r="E134" s="70" t="n"/>
      <c r="F134" s="70" t="n"/>
      <c r="G134" s="71" t="n"/>
    </row>
    <row r="135" ht="22" customHeight="1" s="74">
      <c r="A135" s="4" t="inlineStr">
        <is>
          <t>final_disposition值</t>
        </is>
      </c>
      <c r="B135" s="4" t="inlineStr">
        <is>
          <t>业务含义</t>
        </is>
      </c>
      <c r="C135" s="4" t="inlineStr">
        <is>
          <t>对FCL的影响</t>
        </is>
      </c>
      <c r="D135" s="4" t="n"/>
      <c r="E135" s="4" t="n"/>
      <c r="F135" s="4" t="n"/>
      <c r="G135" s="4" t="n"/>
    </row>
    <row r="136">
      <c r="A136" s="6" t="inlineStr">
        <is>
          <t>Request Incomplete</t>
        </is>
      </c>
      <c r="B136" s="6" t="inlineStr">
        <is>
          <t>借款人未完成申请（材料缺失/停止回应/放弃）</t>
        </is>
      </c>
      <c r="C136" s="6" t="inlineStr">
        <is>
          <t>FCL继续</t>
        </is>
      </c>
      <c r="D136" s="6" t="n"/>
      <c r="E136" s="6" t="n"/>
      <c r="F136" s="6" t="n"/>
      <c r="G136" s="6" t="n"/>
    </row>
    <row r="137">
      <c r="A137" s="6" t="inlineStr">
        <is>
          <t>Referral to FC</t>
        </is>
      </c>
      <c r="B137" s="6" t="inlineStr">
        <is>
          <t>LM最终失败；案件正式转回止赎</t>
        </is>
      </c>
      <c r="C137" s="6" t="inlineStr">
        <is>
          <t>FCL继续</t>
        </is>
      </c>
      <c r="D137" s="6" t="n"/>
      <c r="E137" s="6" t="n"/>
      <c r="F137" s="6" t="n"/>
      <c r="G137" s="6" t="n"/>
    </row>
    <row r="138" ht="26" customHeight="1" s="74">
      <c r="A138" s="12" t="inlineStr">
        <is>
          <t>LMS Opened in Error</t>
        </is>
      </c>
      <c r="B138" s="12" t="inlineStr">
        <is>
          <t>LM记录由运营失误创建（非真实评估）；应忽略</t>
        </is>
      </c>
      <c r="C138" s="12" t="inlineStr">
        <is>
          <t>无影响（行政错误）</t>
        </is>
      </c>
      <c r="D138" s="12" t="n"/>
      <c r="E138" s="12" t="n"/>
      <c r="F138" s="12" t="n"/>
      <c r="G138" s="12" t="n"/>
    </row>
    <row r="139">
      <c r="A139" s="7" t="inlineStr">
        <is>
          <t>Pending</t>
        </is>
      </c>
      <c r="B139" s="7" t="inlineStr">
        <is>
          <t>周期仍活跃；尚无最终结论</t>
        </is>
      </c>
      <c r="C139" s="7" t="inlineStr">
        <is>
          <t>FCL暂停中</t>
        </is>
      </c>
      <c r="D139" s="7" t="n"/>
      <c r="E139" s="7" t="n"/>
      <c r="F139" s="7" t="n"/>
      <c r="G139" s="7" t="n"/>
    </row>
    <row r="140">
      <c r="A140" s="7" t="inlineStr">
        <is>
          <t>Approved</t>
        </is>
      </c>
      <c r="B140" s="7" t="inlineStr">
        <is>
          <t>LM方案已批准执行</t>
        </is>
      </c>
      <c r="C140" s="7" t="inlineStr">
        <is>
          <t>FCL取消或暂停</t>
        </is>
      </c>
      <c r="D140" s="7" t="n"/>
      <c r="E140" s="7" t="n"/>
      <c r="F140" s="7" t="n"/>
      <c r="G140" s="7" t="n"/>
    </row>
    <row r="141">
      <c r="A141" s="6" t="inlineStr">
        <is>
          <t>Denied</t>
        </is>
      </c>
      <c r="B141" s="6" t="inlineStr">
        <is>
          <t>LM方案经完整评估后被拒绝</t>
        </is>
      </c>
      <c r="C141" s="6" t="inlineStr">
        <is>
          <t>FCL继续</t>
        </is>
      </c>
      <c r="D141" s="6" t="n"/>
      <c r="E141" s="6" t="n"/>
      <c r="F141" s="6" t="n"/>
      <c r="G141" s="6" t="n"/>
    </row>
    <row r="142">
      <c r="A142" s="6" t="inlineStr">
        <is>
          <t>Withdrawn</t>
        </is>
      </c>
      <c r="B142" s="6" t="inlineStr">
        <is>
          <t>借款人主动撤回申请</t>
        </is>
      </c>
      <c r="C142" s="6" t="inlineStr">
        <is>
          <t>FCL继续</t>
        </is>
      </c>
      <c r="D142" s="6" t="n"/>
      <c r="E142" s="6" t="n"/>
      <c r="F142" s="6" t="n"/>
      <c r="G142" s="6" t="n"/>
    </row>
  </sheetData>
  <autoFilter ref="A1:G1"/>
  <mergeCells count="12">
    <mergeCell ref="A56:G56"/>
    <mergeCell ref="A22:G22"/>
    <mergeCell ref="A83:G83"/>
    <mergeCell ref="A39:G39"/>
    <mergeCell ref="A100:G100"/>
    <mergeCell ref="A78:G78"/>
    <mergeCell ref="A125:G125"/>
    <mergeCell ref="A2:G2"/>
    <mergeCell ref="A104:G104"/>
    <mergeCell ref="A134:G134"/>
    <mergeCell ref="A73:G73"/>
    <mergeCell ref="A115:G1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2026-05-31T00:54:30Z</dcterms:created>
  <dcterms:modified xmlns:dcterms="http://purl.org/dc/terms/" xmlns:xsi="http://www.w3.org/2001/XMLSchema-instance" xsi:type="dcterms:W3CDTF">2026-06-04T09:24:52Z</dcterms:modified>
  <cp:lastModifiedBy>Jiawen Li</cp:lastModifiedBy>
</cp:coreProperties>
</file>

<file path=docProps/custom.xml><?xml version="1.0" encoding="utf-8"?>
<Properties xmlns="http://schemas.openxmlformats.org/officeDocument/2006/custom-properties">
  <property name="MSIP_Label_defa4170-0d19-0005-0004-bc88714345d2_Enabled" fmtid="{D5CDD505-2E9C-101B-9397-08002B2CF9AE}" pid="2">
    <vt:lpwstr xmlns:vt="http://schemas.openxmlformats.org/officeDocument/2006/docPropsVTypes">true</vt:lpwstr>
  </property>
  <property name="MSIP_Label_defa4170-0d19-0005-0004-bc88714345d2_SetDate" fmtid="{D5CDD505-2E9C-101B-9397-08002B2CF9AE}" pid="3">
    <vt:lpwstr xmlns:vt="http://schemas.openxmlformats.org/officeDocument/2006/docPropsVTypes">2026-06-01T15:27:26Z</vt:lpwstr>
  </property>
  <property name="MSIP_Label_defa4170-0d19-0005-0004-bc88714345d2_Method" fmtid="{D5CDD505-2E9C-101B-9397-08002B2CF9AE}" pid="4">
    <vt:lpwstr xmlns:vt="http://schemas.openxmlformats.org/officeDocument/2006/docPropsVTypes">Standard</vt:lpwstr>
  </property>
  <property name="MSIP_Label_defa4170-0d19-0005-0004-bc88714345d2_Name" fmtid="{D5CDD505-2E9C-101B-9397-08002B2CF9AE}" pid="5">
    <vt:lpwstr xmlns:vt="http://schemas.openxmlformats.org/officeDocument/2006/docPropsVTypes">defa4170-0d19-0005-0004-bc88714345d2</vt:lpwstr>
  </property>
  <property name="MSIP_Label_defa4170-0d19-0005-0004-bc88714345d2_SiteId" fmtid="{D5CDD505-2E9C-101B-9397-08002B2CF9AE}" pid="6">
    <vt:lpwstr xmlns:vt="http://schemas.openxmlformats.org/officeDocument/2006/docPropsVTypes">cf556ab2-5866-47c1-a940-4cd95269f61b</vt:lpwstr>
  </property>
  <property name="MSIP_Label_defa4170-0d19-0005-0004-bc88714345d2_ActionId" fmtid="{D5CDD505-2E9C-101B-9397-08002B2CF9AE}" pid="7">
    <vt:lpwstr xmlns:vt="http://schemas.openxmlformats.org/officeDocument/2006/docPropsVTypes">c9fc1534-9d93-4847-8388-3df676f4ce71</vt:lpwstr>
  </property>
  <property name="MSIP_Label_defa4170-0d19-0005-0004-bc88714345d2_ContentBits" fmtid="{D5CDD505-2E9C-101B-9397-08002B2CF9AE}" pid="8">
    <vt:lpwstr xmlns:vt="http://schemas.openxmlformats.org/officeDocument/2006/docPropsVTypes">0</vt:lpwstr>
  </property>
  <property name="MSIP_Label_defa4170-0d19-0005-0004-bc88714345d2_Tag" fmtid="{D5CDD505-2E9C-101B-9397-08002B2CF9AE}" pid="9">
    <vt:lpwstr xmlns:vt="http://schemas.openxmlformats.org/officeDocument/2006/docPropsVTypes">10, 3, 0, 1</vt:lpwstr>
  </property>
</Properties>
</file>